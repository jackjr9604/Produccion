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Avicol\"/>
    </mc:Choice>
  </mc:AlternateContent>
  <bookViews>
    <workbookView xWindow="0" yWindow="0" windowWidth="20490" windowHeight="7350" firstSheet="1" activeTab="1"/>
  </bookViews>
  <sheets>
    <sheet name="HV" sheetId="3" state="hidden" r:id="rId1"/>
    <sheet name="Psts" sheetId="1" r:id="rId2"/>
    <sheet name="Parametros" sheetId="2" state="hidden" r:id="rId3"/>
    <sheet name="Log" sheetId="4" state="hidden" r:id="rId4"/>
  </sheets>
  <functionGroups builtInGroupCount="18"/>
  <definedNames>
    <definedName name="Administrar">Psts!$BL$16</definedName>
    <definedName name="ctUP">Parametros!$BW$2912:$BX$2981</definedName>
    <definedName name="Dark">Psts!$A$1:$Z$70</definedName>
    <definedName name="GenerarCopia">Psts!$F$18</definedName>
    <definedName name="Modo_Usuario">Psts!$BL$17</definedName>
    <definedName name="PGenerales">Parametros!$Y$5:$Z$15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64" i="4" l="1"/>
  <c r="Z8" i="2" l="1"/>
  <c r="BX2982" i="2" l="1"/>
  <c r="Y13" i="2" l="1"/>
</calcChain>
</file>

<file path=xl/sharedStrings.xml><?xml version="1.0" encoding="utf-8"?>
<sst xmlns="http://schemas.openxmlformats.org/spreadsheetml/2006/main" count="948" uniqueCount="624">
  <si>
    <t>Generales</t>
  </si>
  <si>
    <t>Psts</t>
  </si>
  <si>
    <t>Backup para correos:</t>
  </si>
  <si>
    <t>Ideas:</t>
  </si>
  <si>
    <t>Elimina por fecha</t>
  </si>
  <si>
    <t>Tiempo eliminar</t>
  </si>
  <si>
    <t>HojaApp</t>
  </si>
  <si>
    <t>Copias</t>
  </si>
  <si>
    <t>Fila Mensajes</t>
  </si>
  <si>
    <t>Se debe configurar por el centro de confianza, el acceso mediante programación a "No avisarme nunca..."</t>
  </si>
  <si>
    <t>Hacer instructivo para exportar reglas, no fue posible por programación</t>
  </si>
  <si>
    <t>HojaLog</t>
  </si>
  <si>
    <t>Log</t>
  </si>
  <si>
    <t>InicioLog</t>
  </si>
  <si>
    <t>A1</t>
  </si>
  <si>
    <t>Conservar</t>
  </si>
  <si>
    <t>BL2911</t>
  </si>
  <si>
    <t>Fecha</t>
  </si>
  <si>
    <t>Módulo</t>
  </si>
  <si>
    <t>Registro</t>
  </si>
  <si>
    <t>El archivo debe ubicarse dentro de la carpeta avicol o saldrá un mensaje de error</t>
  </si>
  <si>
    <t>Fecha Fin</t>
  </si>
  <si>
    <t>Generar Copia</t>
  </si>
  <si>
    <t>Administrar</t>
  </si>
  <si>
    <t>Modo Usuario</t>
  </si>
  <si>
    <t>C4m1n0S</t>
  </si>
  <si>
    <t>Antes de desplegar a usuarios, se debe verificar que los usuarios con excel 2010 tengan referenciada la librería: microsoft outlook 14 Object Library</t>
  </si>
  <si>
    <t>para correr el proceso se debe tener cerrado el correo</t>
  </si>
  <si>
    <t>no se copian elementos de tipo citación a reunión</t>
  </si>
  <si>
    <t>Elementos Eliminados;Bandeja de Entrada;Elementos Enviados;Borrador;Contactos Sugeridos;Contactos;</t>
  </si>
  <si>
    <t>W1</t>
  </si>
  <si>
    <t>tener abierto solo el excel</t>
  </si>
  <si>
    <t>Valida Carp Avicol</t>
  </si>
  <si>
    <t>Celda Log Inicializa</t>
  </si>
  <si>
    <t>No olvidar al distribuir:</t>
  </si>
  <si>
    <t>limpiar logs</t>
  </si>
  <si>
    <t>cuadrar parámetros</t>
  </si>
  <si>
    <t>asegurar que el agente ctera de cada usuario, está activado</t>
  </si>
  <si>
    <t>ruta correo</t>
  </si>
  <si>
    <t>Ejecutar</t>
  </si>
  <si>
    <t>BW1</t>
  </si>
  <si>
    <t>Celda log Status Ctera</t>
  </si>
  <si>
    <t>avicol1.arktics.cteraportal.com</t>
  </si>
  <si>
    <t>portal Ctera</t>
  </si>
  <si>
    <t>ConservarU</t>
  </si>
  <si>
    <t>Carpeta</t>
  </si>
  <si>
    <t>Items</t>
  </si>
  <si>
    <t>storeID</t>
  </si>
  <si>
    <t>entryID</t>
  </si>
  <si>
    <t>Usuario</t>
  </si>
  <si>
    <t>Pwd</t>
  </si>
  <si>
    <t>willington.bautista</t>
  </si>
  <si>
    <t>Wbautista2019*</t>
  </si>
  <si>
    <t>uCt</t>
  </si>
  <si>
    <t>para conectarse a ctera debe primero conectarse a vpn antes de ejecutar el excel</t>
  </si>
  <si>
    <t>configurar parámetro de usuario</t>
  </si>
  <si>
    <t>BX2982</t>
  </si>
  <si>
    <t>Conecta</t>
  </si>
  <si>
    <t>admin-orion</t>
  </si>
  <si>
    <t>adriana.quintero</t>
  </si>
  <si>
    <t>alvaro-cortes</t>
  </si>
  <si>
    <t>andres.parra</t>
  </si>
  <si>
    <t>auxiliar.auditoria</t>
  </si>
  <si>
    <t>camilo.sanchez</t>
  </si>
  <si>
    <t>carlos.prada</t>
  </si>
  <si>
    <t>conductor.despachos</t>
  </si>
  <si>
    <t>devinson.puentes</t>
  </si>
  <si>
    <t>diego.baena</t>
  </si>
  <si>
    <t>edwin.villarreal</t>
  </si>
  <si>
    <t>felipe-callejas</t>
  </si>
  <si>
    <t>felipe.martinez</t>
  </si>
  <si>
    <t>freddy-valdivieso</t>
  </si>
  <si>
    <t>gabriel-sandoval</t>
  </si>
  <si>
    <t>gerardo.diaz</t>
  </si>
  <si>
    <t>gerardo.vesga</t>
  </si>
  <si>
    <t>giovanni-alzate</t>
  </si>
  <si>
    <t>granja.agrado</t>
  </si>
  <si>
    <t>granja.arkansas</t>
  </si>
  <si>
    <t>granja.cincuentenario</t>
  </si>
  <si>
    <t>granja.eden</t>
  </si>
  <si>
    <t>granja.esperanza</t>
  </si>
  <si>
    <t>granja.sanantonio</t>
  </si>
  <si>
    <t>granja.sanpedro</t>
  </si>
  <si>
    <t>granja.valencia</t>
  </si>
  <si>
    <t>guillermo-figueroa</t>
  </si>
  <si>
    <t>ivan.forero</t>
  </si>
  <si>
    <t>jairo.quimbayo</t>
  </si>
  <si>
    <t>jhon-basto</t>
  </si>
  <si>
    <t>jimena.castro</t>
  </si>
  <si>
    <t>john.gaete</t>
  </si>
  <si>
    <t>jonathan-barbosa</t>
  </si>
  <si>
    <t>jorge.garcia</t>
  </si>
  <si>
    <t>jorge.palacio</t>
  </si>
  <si>
    <t>jose.hernandez</t>
  </si>
  <si>
    <t>lorena-jaramillo</t>
  </si>
  <si>
    <t>luz.urrea</t>
  </si>
  <si>
    <t>mana.auxiliar</t>
  </si>
  <si>
    <t>manuel-fuentes</t>
  </si>
  <si>
    <t>mario-sanchez</t>
  </si>
  <si>
    <t>mateo-restrepo</t>
  </si>
  <si>
    <t>mayerly.martinez</t>
  </si>
  <si>
    <t>miguel.ayala</t>
  </si>
  <si>
    <t>monica-rueda</t>
  </si>
  <si>
    <t>mtto-sanfelipe</t>
  </si>
  <si>
    <t>natalia.sanchez</t>
  </si>
  <si>
    <t>oficina-despachos</t>
  </si>
  <si>
    <t>olga.solorzano</t>
  </si>
  <si>
    <t>pablo.jaimes</t>
  </si>
  <si>
    <t>palmas-maquinas</t>
  </si>
  <si>
    <t>palmas.auxiliar</t>
  </si>
  <si>
    <t>palmas.supervisor</t>
  </si>
  <si>
    <t>pozo.azul</t>
  </si>
  <si>
    <t>rafael-lozano</t>
  </si>
  <si>
    <t>rodrigo-cardenas</t>
  </si>
  <si>
    <t>sandra.jaramillo</t>
  </si>
  <si>
    <t>sfelipe-maquinas</t>
  </si>
  <si>
    <t>sfelipe.auxiliar</t>
  </si>
  <si>
    <t>sfelipe.supervisor</t>
  </si>
  <si>
    <t>tatiana.rojas</t>
  </si>
  <si>
    <t>viviana.melo</t>
  </si>
  <si>
    <t>william.duran</t>
  </si>
  <si>
    <t>yacson-tapiero</t>
  </si>
  <si>
    <t>yesid-diaz</t>
  </si>
  <si>
    <t>Aorion2019*</t>
  </si>
  <si>
    <t>Aquintero2019*</t>
  </si>
  <si>
    <t>Acortes2019*</t>
  </si>
  <si>
    <t>Aparra2019*</t>
  </si>
  <si>
    <t>Aauditoria2019*</t>
  </si>
  <si>
    <t>Csanchez2019*</t>
  </si>
  <si>
    <t>Cprada2019*</t>
  </si>
  <si>
    <t>Cdespachos2019*</t>
  </si>
  <si>
    <t>Dpuentes2019*</t>
  </si>
  <si>
    <t>Dbaena2019*</t>
  </si>
  <si>
    <t>Evillarreal2019*</t>
  </si>
  <si>
    <t>Fcallejas2019*</t>
  </si>
  <si>
    <t>Fmartinez2019*</t>
  </si>
  <si>
    <t>Fvaldivieso2019*</t>
  </si>
  <si>
    <t>Gsandoval2019*</t>
  </si>
  <si>
    <t>Gdiaz2019*</t>
  </si>
  <si>
    <t>Gvesga2019*</t>
  </si>
  <si>
    <t>Galzate2019*</t>
  </si>
  <si>
    <t>Gagrado2019*</t>
  </si>
  <si>
    <t>Garkansas2019*</t>
  </si>
  <si>
    <t>Gcincuentenario2019*</t>
  </si>
  <si>
    <t>Geden2019*</t>
  </si>
  <si>
    <t>Gesperanza2019*</t>
  </si>
  <si>
    <t>Gsanantonio2019*</t>
  </si>
  <si>
    <t>Gsanpedro2019*</t>
  </si>
  <si>
    <t>Gvalencia2019*</t>
  </si>
  <si>
    <t>Gfigueroa2019*</t>
  </si>
  <si>
    <t>Iforero2019*</t>
  </si>
  <si>
    <t>Jquimbayo2019*</t>
  </si>
  <si>
    <t>Jbasto2019*</t>
  </si>
  <si>
    <t>Jcastro2019*</t>
  </si>
  <si>
    <t>Jgaete2019*</t>
  </si>
  <si>
    <t>Jbarbosa2019*</t>
  </si>
  <si>
    <t>Jgarcia2019*</t>
  </si>
  <si>
    <t>Jpalacio2019*</t>
  </si>
  <si>
    <t>Jhernandez2019*</t>
  </si>
  <si>
    <t>Ljaramillo2019*</t>
  </si>
  <si>
    <t>Lurrea2019*</t>
  </si>
  <si>
    <t>Mauxiliar2019*</t>
  </si>
  <si>
    <t>Mfuentes2019*</t>
  </si>
  <si>
    <t>Msanchez2019*</t>
  </si>
  <si>
    <t>Mrestrepo2019*</t>
  </si>
  <si>
    <t>Mmartinez2019*</t>
  </si>
  <si>
    <t>Mayala2019*</t>
  </si>
  <si>
    <t>Mrueda2019*</t>
  </si>
  <si>
    <t>Msanfelipe2019*</t>
  </si>
  <si>
    <t>Nsanchez2019*</t>
  </si>
  <si>
    <t>Odespachos2019*</t>
  </si>
  <si>
    <t>Osolorzano2019*</t>
  </si>
  <si>
    <t>Pjaimes2019*</t>
  </si>
  <si>
    <t>Pmaquinas2019*</t>
  </si>
  <si>
    <t>Pauxiliar2019*</t>
  </si>
  <si>
    <t>Psupervisor2019*</t>
  </si>
  <si>
    <t>Pazul2019*</t>
  </si>
  <si>
    <t>Rlozano2019*</t>
  </si>
  <si>
    <t>Rcardenas2019*</t>
  </si>
  <si>
    <t>Sjaramillo2019*</t>
  </si>
  <si>
    <t>Smaquinas2019*</t>
  </si>
  <si>
    <t>Sauxiliar2019*</t>
  </si>
  <si>
    <t>Ssupervisor2019*</t>
  </si>
  <si>
    <t>Trojas2019*</t>
  </si>
  <si>
    <t>Vmelo2019*</t>
  </si>
  <si>
    <t>Wduran2019*</t>
  </si>
  <si>
    <t>Ytapiero2019*</t>
  </si>
  <si>
    <t>Ydiaz2019*</t>
  </si>
  <si>
    <t>&lt;&lt;Libre&gt;&gt;</t>
  </si>
  <si>
    <t>Bienvenidos!</t>
  </si>
  <si>
    <t xml:space="preserve">Esta herramienta generará un backup de sus correos electrónicos (bandeja de entrada, elementos enviados, borradores) y </t>
  </si>
  <si>
    <t>1.</t>
  </si>
  <si>
    <t>Cierre todas las aplicaciones que tenga abiertas, incluyendo el outlook</t>
  </si>
  <si>
    <t>2.</t>
  </si>
  <si>
    <t>Unicamente deje este archivo de excel abierto. Los demás por favor ciérrelos.</t>
  </si>
  <si>
    <t>3.</t>
  </si>
  <si>
    <t>Presione el botón de la parte inferior: "Generar Copia"</t>
  </si>
  <si>
    <t>4.</t>
  </si>
  <si>
    <t>5.</t>
  </si>
  <si>
    <t xml:space="preserve">Cuentas procesadas: </t>
  </si>
  <si>
    <t>Contactos:</t>
  </si>
  <si>
    <t>Hora Inicio:</t>
  </si>
  <si>
    <t>Hora Fin:</t>
  </si>
  <si>
    <t>Bandeja de entrada:</t>
  </si>
  <si>
    <t>Elementos enviados:</t>
  </si>
  <si>
    <t>Resumen Último Proceso:</t>
  </si>
  <si>
    <t>contactos. Tenga en cuenta que no se procesarán las reglas que tenga definidas. Por lo cual, si lo desea, debe copiarlas de forma</t>
  </si>
  <si>
    <t>Durante el proceso, evite usar el computador para otra tarea</t>
  </si>
  <si>
    <r>
      <t xml:space="preserve">Espere que el proceso finalice, lo cual sucederá cuando salga el mensaje "Copia Finalizada con Éxito!", </t>
    </r>
    <r>
      <rPr>
        <b/>
        <u/>
        <sz val="11"/>
        <color theme="1"/>
        <rFont val="Calibri"/>
        <family val="2"/>
        <scheme val="minor"/>
      </rPr>
      <t>No Antes</t>
    </r>
  </si>
  <si>
    <t>6.</t>
  </si>
  <si>
    <t>Estado</t>
  </si>
  <si>
    <t>configurar parámetro de dispositivo ctera</t>
  </si>
  <si>
    <t>en el momento del despliegue, se debe hacer copia del pst existente, como punto de partida. Es requisito imprescindible, pq puede haber pérdida de datos</t>
  </si>
  <si>
    <t>cuando hayan actualizaciones de esta herramienta, se debe garantizar que se mantienen los parámetros requeridos por cada usuario</t>
  </si>
  <si>
    <t>cuando hayan actualizaciones de esta herramienta, se debe garantizar que se use la última versión</t>
  </si>
  <si>
    <t>De acuerdo con lo anterior, los pasos que debe seguir para que el proceso de copia de seguridad sea el adecuado, son:</t>
  </si>
  <si>
    <t xml:space="preserve">   * Los buzones de correos anteriores, que tenía en el outlook, dejarán de exisitir.</t>
  </si>
  <si>
    <t xml:space="preserve">   * Se mantendrá el correo electrónico que esté en su buzón, con una edad menor o igual a 13 meses.</t>
  </si>
  <si>
    <t xml:space="preserve">   * Los correos de hace más de 13 meses, se irán borrando automáticamente.</t>
  </si>
  <si>
    <t xml:space="preserve">   * Si requiere consultar correos más antiguos, deberá solicitar búsqueda y restauración</t>
  </si>
  <si>
    <t xml:space="preserve">A partir de ahora: </t>
  </si>
  <si>
    <r>
      <t>manual, de acuerdo con el instructivo "</t>
    </r>
    <r>
      <rPr>
        <b/>
        <i/>
        <u/>
        <sz val="11"/>
        <color theme="1"/>
        <rFont val="Calibri"/>
        <family val="2"/>
        <scheme val="minor"/>
      </rPr>
      <t>InstructivoCopiaReglas.pdf</t>
    </r>
    <r>
      <rPr>
        <i/>
        <sz val="11"/>
        <color theme="1"/>
        <rFont val="Calibri"/>
        <family val="2"/>
        <scheme val="minor"/>
      </rPr>
      <t>" que se envió por correo, junto al presente archivo.</t>
    </r>
  </si>
  <si>
    <t>Genere backup de las reglas, si las tiene, según en instructivo mencionado en la parte superior</t>
  </si>
  <si>
    <t>realizar la primera ejecución del proceso sin los parámetros de borrado</t>
  </si>
  <si>
    <t>al finalizar la primera ejecución del procesos, habilitar los parámetros de borrado</t>
  </si>
  <si>
    <t>se debe garantizar que el agente de ctera está instalado</t>
  </si>
  <si>
    <t>se debe agregar la carpeta de backup de correo dentro de ctera</t>
  </si>
  <si>
    <t>Dia/Hora</t>
  </si>
  <si>
    <t xml:space="preserve"> </t>
  </si>
  <si>
    <t>Copias de Seguridad
Correo Electrónico
Versión 1.3
20 de mayo de 2020
TICS - Avicol</t>
  </si>
  <si>
    <t>1;30;7;20;</t>
  </si>
  <si>
    <t>16/06/2020 11:33:35</t>
  </si>
  <si>
    <t>GeneraMsgs</t>
  </si>
  <si>
    <t>Inicio</t>
  </si>
  <si>
    <t>\\alabama@avicol.co\Elementos eliminados</t>
  </si>
  <si>
    <t>0000000091E42B7D58762F43A1A0DE278C72076162800000</t>
  </si>
  <si>
    <t>0000000038A1BB1005E5101AA1BB08002B2A56C200006D737073742E646C6C00000000004E495441F9BFB80100AA0037D96E0000000045003A005C0043006F007200720065006F005C0061006C006100620061006D006100400061007600690063006F006C002E0063006F002E007000730074000000</t>
  </si>
  <si>
    <t>\\alabama@avicol.co\Bandeja de entrada</t>
  </si>
  <si>
    <t>0000000091E42B7D58762F43A1A0DE278C72076182800000</t>
  </si>
  <si>
    <t>0000000091E42B7D58762F43A1A0DE278C720761A2820000</t>
  </si>
  <si>
    <t>0000000091E42B7D58762F43A1A0DE278C720761C2820000</t>
  </si>
  <si>
    <t>0000000091E42B7D58762F43A1A0DE278C720761E2820000</t>
  </si>
  <si>
    <t>0000000091E42B7D58762F43A1A0DE278C72076102830000</t>
  </si>
  <si>
    <t>0000000091E42B7D58762F43A1A0DE278C72076122830000</t>
  </si>
  <si>
    <t>0000000091E42B7D58762F43A1A0DE278C72076142830000</t>
  </si>
  <si>
    <t>0000000091E42B7D58762F43A1A0DE278C72076162830000</t>
  </si>
  <si>
    <t>0000000091E42B7D58762F43A1A0DE278C72076182830000</t>
  </si>
  <si>
    <t>0000000091E42B7D58762F43A1A0DE278C720761A2830000</t>
  </si>
  <si>
    <t>0000000091E42B7D58762F43A1A0DE278C720761C2830000</t>
  </si>
  <si>
    <t>0000000091E42B7D58762F43A1A0DE278C720761E2830000</t>
  </si>
  <si>
    <t>0000000091E42B7D58762F43A1A0DE278C72076102840000</t>
  </si>
  <si>
    <t>0000000091E42B7D58762F43A1A0DE278C72076122840000</t>
  </si>
  <si>
    <t>0000000091E42B7D58762F43A1A0DE278C72076142840000</t>
  </si>
  <si>
    <t>0000000091E42B7D58762F43A1A0DE278C72076162840000</t>
  </si>
  <si>
    <t>\\alabama@avicol.co\Bandeja de entrada\Convivencia Avicol</t>
  </si>
  <si>
    <t>0000000091E42B7D58762F43A1A0DE278C72076182840000</t>
  </si>
  <si>
    <t>\\alabama@avicol.co\Bandeja de entrada\Convivencia Avicol\Dr. Camilo</t>
  </si>
  <si>
    <t>0000000091E42B7D58762F43A1A0DE278C720761A2840000</t>
  </si>
  <si>
    <t>0000000091E42B7D58762F43A1A0DE278C720761C2840000</t>
  </si>
  <si>
    <t>0000000091E42B7D58762F43A1A0DE278C720761E2840000</t>
  </si>
  <si>
    <t>0000000091E42B7D58762F43A1A0DE278C72076102850000</t>
  </si>
  <si>
    <t>0000000091E42B7D58762F43A1A0DE278C72076122850000</t>
  </si>
  <si>
    <t>0000000091E42B7D58762F43A1A0DE278C72076142850000</t>
  </si>
  <si>
    <t>0000000091E42B7D58762F43A1A0DE278C72076162850000</t>
  </si>
  <si>
    <t>\\alabama@avicol.co\Bandeja de entrada\Gestion e Innovación</t>
  </si>
  <si>
    <t>0000000091E42B7D58762F43A1A0DE278C72076182850000</t>
  </si>
  <si>
    <t>0000000091E42B7D58762F43A1A0DE278C720761A2850000</t>
  </si>
  <si>
    <t>\\alabama@avicol.co\Bandeja de entrada\Gestion e Innovación\Daruma</t>
  </si>
  <si>
    <t>0000000091E42B7D58762F43A1A0DE278C720761C2850000</t>
  </si>
  <si>
    <t>\\alabama@avicol.co\Bandeja de entrada\Gestion e Innovación\Daruma\Diego Baena</t>
  </si>
  <si>
    <t>0000000091E42B7D58762F43A1A0DE278C720761E2850000</t>
  </si>
  <si>
    <t>\\alabama@avicol.co\Bandeja de entrada\Gestion e Innovación\Archivo y Metrologia</t>
  </si>
  <si>
    <t>0000000091E42B7D58762F43A1A0DE278C72076102860000</t>
  </si>
  <si>
    <t>\\alabama@avicol.co\Bandeja de entrada\Gestion e Innovación\Auxiliar Gestion e Innovación</t>
  </si>
  <si>
    <t>0000000091E42B7D58762F43A1A0DE278C72076122860000</t>
  </si>
  <si>
    <t>\\alabama@avicol.co\Bandeja de entrada\Gestion e Innovación\Auxiliar Gestion e Innovación\Susana Lopez</t>
  </si>
  <si>
    <t>0000000091E42B7D58762F43A1A0DE278C72076142860000</t>
  </si>
  <si>
    <t>\\alabama@avicol.co\Bandeja de entrada\Laboratorio</t>
  </si>
  <si>
    <t>0000000091E42B7D58762F43A1A0DE278C72076162860000</t>
  </si>
  <si>
    <t>\\alabama@avicol.co\Bandeja de entrada\Lina Fandiño</t>
  </si>
  <si>
    <t>0000000091E42B7D58762F43A1A0DE278C72076182860000</t>
  </si>
  <si>
    <t>\\alabama@avicol.co\Bandeja de entrada\Produccion</t>
  </si>
  <si>
    <t>0000000091E42B7D58762F43A1A0DE278C720761A2860000</t>
  </si>
  <si>
    <t>\\alabama@avicol.co\Bandeja de entrada\Produccion\Adriana Quintero</t>
  </si>
  <si>
    <t>0000000091E42B7D58762F43A1A0DE278C720761C2860000</t>
  </si>
  <si>
    <t>\\alabama@avicol.co\Bandeja de entrada\Produccion\Natalia</t>
  </si>
  <si>
    <t>0000000091E42B7D58762F43A1A0DE278C720761E2860000</t>
  </si>
  <si>
    <t>\\alabama@avicol.co\Bandeja de entrada\Produccion\Natalia\Recursos Humanos</t>
  </si>
  <si>
    <t>0000000091E42B7D58762F43A1A0DE278C72076102870000</t>
  </si>
  <si>
    <t>\\alabama@avicol.co\Bandeja de entrada\Produccion\Natalia\Recursos Humanos\Lider SST</t>
  </si>
  <si>
    <t>0000000091E42B7D58762F43A1A0DE278C72076122870000</t>
  </si>
  <si>
    <t>\\alabama@avicol.co\Bandeja de entrada\Produccion\Natalia\Recursos Humanos\Nomina</t>
  </si>
  <si>
    <t>0000000091E42B7D58762F43A1A0DE278C72076142870000</t>
  </si>
  <si>
    <t>\\alabama@avicol.co\Bandeja de entrada\Produccion\Natalia\Recursos Humanos\Sandra Jaramillo</t>
  </si>
  <si>
    <t>0000000091E42B7D58762F43A1A0DE278C72076162870000</t>
  </si>
  <si>
    <t>\\alabama@avicol.co\Bandeja de entrada\Produccion\Natalia\Recursos Humanos\Faidory Moreno</t>
  </si>
  <si>
    <t>0000000091E42B7D58762F43A1A0DE278C72076182870000</t>
  </si>
  <si>
    <t>\\alabama@avicol.co\Bandeja de entrada\Produccion\Natalia\Recursos Humanos\Giovanny Alzate</t>
  </si>
  <si>
    <t>0000000091E42B7D58762F43A1A0DE278C720761A2870000</t>
  </si>
  <si>
    <t>\\alabama@avicol.co\Bandeja de entrada\Produccion\Dr. Pablo</t>
  </si>
  <si>
    <t>0000000091E42B7D58762F43A1A0DE278C720761C2870000</t>
  </si>
  <si>
    <t>\\alabama@avicol.co\Bandeja de entrada\Tics</t>
  </si>
  <si>
    <t>0000000091E42B7D58762F43A1A0DE278C720761E2870000</t>
  </si>
  <si>
    <t>0000000091E42B7D58762F43A1A0DE278C72076102880000</t>
  </si>
  <si>
    <t>\\alabama@avicol.co\Bandeja de entrada\Tics\Marcia Rodriguez</t>
  </si>
  <si>
    <t>0000000091E42B7D58762F43A1A0DE278C72076122880000</t>
  </si>
  <si>
    <t>0000000091E42B7D58762F43A1A0DE278C72076142880000</t>
  </si>
  <si>
    <t>0000000091E42B7D58762F43A1A0DE278C72076162880000</t>
  </si>
  <si>
    <t>0000000091E42B7D58762F43A1A0DE278C72076182880000</t>
  </si>
  <si>
    <t>0000000091E42B7D58762F43A1A0DE278C720761A2880000</t>
  </si>
  <si>
    <t>0000000091E42B7D58762F43A1A0DE278C720761C2880000</t>
  </si>
  <si>
    <t>0000000091E42B7D58762F43A1A0DE278C72076142890000</t>
  </si>
  <si>
    <t>0000000091E42B7D58762F43A1A0DE278C720761E2880000</t>
  </si>
  <si>
    <t>0000000091E42B7D58762F43A1A0DE278C72076102890000</t>
  </si>
  <si>
    <t>\\alabama@avicol.co\Bandeja de entrada\Gestión Humana</t>
  </si>
  <si>
    <t>0000000091E42B7D58762F43A1A0DE278C72076122890000</t>
  </si>
  <si>
    <t>\\alabama@avicol.co\Elementos enviados</t>
  </si>
  <si>
    <t>0000000091E42B7D58762F43A1A0DE278C720761C2800000</t>
  </si>
  <si>
    <t>\\alabama@avicol.co\Borrador</t>
  </si>
  <si>
    <t>0000000091E42B7D58762F43A1A0DE278C72076142820000</t>
  </si>
  <si>
    <t>\\alabama@avicol.co\Contactos sugeridos</t>
  </si>
  <si>
    <t>0000000091E42B7D58762F43A1A0DE278C72076122810000</t>
  </si>
  <si>
    <t>\\alabama@avicol.co\Contactos</t>
  </si>
  <si>
    <t>0000000091E42B7D58762F43A1A0DE278C720761C2810000</t>
  </si>
  <si>
    <t>16/06/2020 11:34:07</t>
  </si>
  <si>
    <t>Carpeta: Elementos eliminados / No. Elementos: 1 / Borrados: 0</t>
  </si>
  <si>
    <t>16/06/2020 11:40:56</t>
  </si>
  <si>
    <t>Carpeta: Bandeja de entrada / No. Elementos: 1516 / Borrados: 0</t>
  </si>
  <si>
    <t>16/06/2020 11:41:12</t>
  </si>
  <si>
    <t>Carpeta: Bandeja de entrada\Auditoria / No. Elementos: 71 / Borrados: 0</t>
  </si>
  <si>
    <t>16/06/2020 11:41:13</t>
  </si>
  <si>
    <t>Carpeta: Bandeja de entrada\Auditoria\Dr. Jonathan / No. Elementos: 2 / Borrados: 0</t>
  </si>
  <si>
    <t>16/06/2020 11:41:29</t>
  </si>
  <si>
    <t>Carpeta: Bandeja de entrada\Auditoria\Nestor Prada / No. Elementos: 55 / Borrados: 0</t>
  </si>
  <si>
    <t>Carpeta: Bandeja de entrada\Compras / No. Elementos: 1 / Borrados: 0</t>
  </si>
  <si>
    <t>16/06/2020 11:41:33</t>
  </si>
  <si>
    <t>Carpeta: Bandeja de entrada\Compras\Andres Carmona / No. Elementos: 27 / Borrados: 0</t>
  </si>
  <si>
    <t>Carpeta: Bandeja de entrada\Compras\Andres Carmona\Administracion / No. Elementos: 1 / Borrados: 0</t>
  </si>
  <si>
    <t>16/06/2020 11:41:47</t>
  </si>
  <si>
    <t>Carpeta: Bandeja de entrada\Compras\Andres Carmona\Administracion\Mayerly Amaya / No. Elementos: 33 / Borrados: 0</t>
  </si>
  <si>
    <t>16/06/2020 11:41:50</t>
  </si>
  <si>
    <t>Carpeta: Bandeja de entrada\Compras\Andres Carmona\Administracion\Mayerly Amaya\Maria Deysi Orozco / No. Elementos: 8 / Borrados: 0</t>
  </si>
  <si>
    <t>16/06/2020 11:41:51</t>
  </si>
  <si>
    <t>Carpeta: Bandeja de entrada\Compras\Andres Carmona\Administracion\Mayerly Amaya\Maria Deysi Orozco\Cartera / No. Elementos: 5 / Borrados: 0</t>
  </si>
  <si>
    <t>16/06/2020 11:43:13</t>
  </si>
  <si>
    <t>Carpeta: Bandeja de entrada\Compras\Andres Carmona\Administracion\Mayerly Amaya\Recepcion Avicol / No. Elementos: 128 / Borrados: 0</t>
  </si>
  <si>
    <t>16/06/2020 11:43:35</t>
  </si>
  <si>
    <t>Carpeta: Bandeja de entrada\Compras\Alquimides Cardenas / No. Elementos: 85 / Borrados: 0</t>
  </si>
  <si>
    <t>16/06/2020 11:43:42</t>
  </si>
  <si>
    <t>Carpeta: Bandeja de entrada\Compras\Avicol / No. Elementos: 10 / Borrados: 0</t>
  </si>
  <si>
    <t>16/06/2020 11:43:45</t>
  </si>
  <si>
    <t>Carpeta: Bandeja de entrada\Compras\Avicol\Edwin Villareal / No. Elementos: 12 / Borrados: 0</t>
  </si>
  <si>
    <t>16/06/2020 11:44:03</t>
  </si>
  <si>
    <t>Carpeta: Bandeja de entrada\Contabilidad / No. Elementos: 54 / Borrados: 0</t>
  </si>
  <si>
    <t>16/06/2020 11:44:05</t>
  </si>
  <si>
    <t>Carpeta: Bandeja de entrada\Contabilidad\Analista Costos / No. Elementos: 12 / Borrados: 0</t>
  </si>
  <si>
    <t>16/06/2020 11:45:08</t>
  </si>
  <si>
    <t>Carpeta: Bandeja de entrada\Convivencia Avicol / No. Elementos: 21 / Borrados: 0</t>
  </si>
  <si>
    <t>16/06/2020 11:45:09</t>
  </si>
  <si>
    <t>Carpeta: Bandeja de entrada\Convivencia Avicol\Dr. Camilo / No. Elementos: 10 / Borrados: 0</t>
  </si>
  <si>
    <t>16/06/2020 11:45:38</t>
  </si>
  <si>
    <t>Carpeta: Bandeja de entrada\Dra. Monica / No. Elementos: 120 / Borrados: 1</t>
  </si>
  <si>
    <t>16/06/2020 11:46:11</t>
  </si>
  <si>
    <t>Carpeta: Bandeja de entrada\Fonavicol / No. Elementos: 144 / Borrados: 0</t>
  </si>
  <si>
    <t>16/06/2020 11:47:03</t>
  </si>
  <si>
    <t>Carpeta: Bandeja de entrada\Fonavicol\asistente fondo / No. Elementos: 101 / Borrados: 0</t>
  </si>
  <si>
    <t>16/06/2020 11:47:07</t>
  </si>
  <si>
    <t>Carpeta: Bandeja de entrada\Gerardo Diaz / No. Elementos: 16 / Borrados: 0</t>
  </si>
  <si>
    <t>16/06/2020 11:47:10</t>
  </si>
  <si>
    <t>Carpeta: Bandeja de entrada\Gerardo Diaz\Andrea Cabrera / No. Elementos: 14 / Borrados: 0</t>
  </si>
  <si>
    <t>16/06/2020 11:47:17</t>
  </si>
  <si>
    <t>Carpeta: Bandeja de entrada\Gerardo Diaz\Andrea Cabrera\Marco Tulio / No. Elementos: 28 / Borrados: 0</t>
  </si>
  <si>
    <t>Carpeta: Bandeja de entrada\Gestion e Innovación / No. Elementos: 1 / Borrados: 0</t>
  </si>
  <si>
    <t>16/06/2020 11:47:32</t>
  </si>
  <si>
    <t>Carpeta: Bandeja de entrada\Gestion e Innovación\Lider Calidad y Ambiente / No. Elementos: 64 / Borrados: 0</t>
  </si>
  <si>
    <t>16/06/2020 11:47:53</t>
  </si>
  <si>
    <t>Carpeta: Bandeja de entrada\Gestion e Innovación\Daruma / No. Elementos: 89 / Borrados: 0</t>
  </si>
  <si>
    <t>16/06/2020 11:48:00</t>
  </si>
  <si>
    <t>Carpeta: Bandeja de entrada\Gestion e Innovación\Daruma\Diego Baena / No. Elementos: 27 / Borrados: 0</t>
  </si>
  <si>
    <t>Carpeta: Bandeja de entrada\Gestion e Innovación\Archivo y Metrologia / No. Elementos: 3 / Borrados: 0</t>
  </si>
  <si>
    <t>16/06/2020 11:48:54</t>
  </si>
  <si>
    <t>Carpeta: Bandeja de entrada\Gestion e Innovación\Auxiliar Gestion e Innovación / No. Elementos: 243 / Borrados: 0</t>
  </si>
  <si>
    <t>16/06/2020 11:49:01</t>
  </si>
  <si>
    <t>Carpeta: Bandeja de entrada\Gestion e Innovación\Auxiliar Gestion e Innovación\Susana Lopez / No. Elementos: 23 / Borrados: 0</t>
  </si>
  <si>
    <t>16/06/2020 11:49:17</t>
  </si>
  <si>
    <t>Carpeta: Bandeja de entrada\Laboratorio / No. Elementos: 51 / Borrados: 0</t>
  </si>
  <si>
    <t>Carpeta: Bandeja de entrada\Lina Fandiño / No. Elementos: 2 / Borrados: 0</t>
  </si>
  <si>
    <t>Carpeta: Bandeja de entrada\Produccion / No. Elementos: 1 / Borrados: 0</t>
  </si>
  <si>
    <t>16/06/2020 11:49:22</t>
  </si>
  <si>
    <t>Carpeta: Bandeja de entrada\Produccion\Adriana Quintero / No. Elementos: 22 / Borrados: 0</t>
  </si>
  <si>
    <t>16/06/2020 11:49:38</t>
  </si>
  <si>
    <t>Carpeta: Bandeja de entrada\Produccion\Natalia / No. Elementos: 76 / Borrados: 0</t>
  </si>
  <si>
    <t>16/06/2020 11:49:39</t>
  </si>
  <si>
    <t>Carpeta: Bandeja de entrada\Produccion\Natalia\Recursos Humanos / No. Elementos: 4 / Borrados: 0</t>
  </si>
  <si>
    <t>16/06/2020 11:49:46</t>
  </si>
  <si>
    <t>Carpeta: Bandeja de entrada\Produccion\Natalia\Recursos Humanos\Lider SST / No. Elementos: 27 / Borrados: 0</t>
  </si>
  <si>
    <t>16/06/2020 11:51:27</t>
  </si>
  <si>
    <t>Carpeta: Bandeja de entrada\Produccion\Natalia\Recursos Humanos\Nomina / No. Elementos: 285 / Borrados: 0</t>
  </si>
  <si>
    <t>16/06/2020 11:52:51</t>
  </si>
  <si>
    <t>Carpeta: Bandeja de entrada\Produccion\Natalia\Recursos Humanos\Sandra Jaramillo / No. Elementos: 182 / Borrados: 0</t>
  </si>
  <si>
    <t>16/06/2020 11:52:53</t>
  </si>
  <si>
    <t>Carpeta: Bandeja de entrada\Produccion\Natalia\Recursos Humanos\Faidory Moreno / No. Elementos: 10 / Borrados: 0</t>
  </si>
  <si>
    <t>16/06/2020 11:53:40</t>
  </si>
  <si>
    <t>Carpeta: Bandeja de entrada\Produccion\Natalia\Recursos Humanos\Giovanny Alzate / No. Elementos: 137 / Borrados: 0</t>
  </si>
  <si>
    <t>16/06/2020 11:53:42</t>
  </si>
  <si>
    <t>Carpeta: Bandeja de entrada\Produccion\Dr. Pablo / No. Elementos: 7 / Borrados: 0</t>
  </si>
  <si>
    <t>16/06/2020 11:53:49</t>
  </si>
  <si>
    <t>Carpeta: Bandeja de entrada\Tics / No. Elementos: 28 / Borrados: 0</t>
  </si>
  <si>
    <t>16/06/2020 11:53:54</t>
  </si>
  <si>
    <t>Carpeta: Bandeja de entrada\Tics\Carlos Rubio / No. Elementos: 13 / Borrados: 0</t>
  </si>
  <si>
    <t>16/06/2020 11:54:02</t>
  </si>
  <si>
    <t>Carpeta: Bandeja de entrada\Tics\Marcia Rodriguez / No. Elementos: 33 / Borrados: 0</t>
  </si>
  <si>
    <t>16/06/2020 11:54:08</t>
  </si>
  <si>
    <t>Carpeta: Bandeja de entrada\Unidades de produccion / No. Elementos: 18 / Borrados: 0</t>
  </si>
  <si>
    <t>16/06/2020 11:54:18</t>
  </si>
  <si>
    <t>Carpeta: Bandeja de entrada\Unidades de produccion\Granja San Antonio / No. Elementos: 35 / Borrados: 0</t>
  </si>
  <si>
    <t>16/06/2020 11:54:19</t>
  </si>
  <si>
    <t>Carpeta: Bandeja de entrada\Unidades de produccion\Granja Esperanza / No. Elementos: 2 / Borrados: 0</t>
  </si>
  <si>
    <t>Carpeta: Bandeja de entrada\Unidades de produccion\San Felipe / No. Elementos: 4 / Borrados: 0</t>
  </si>
  <si>
    <t>16/06/2020 11:54:34</t>
  </si>
  <si>
    <t>Carpeta: Bandeja de entrada\Unidades de produccion\Palmas / No. Elementos: 63 / Borrados: 0</t>
  </si>
  <si>
    <t>16/06/2020 11:54:58</t>
  </si>
  <si>
    <t>Carpeta: Bandeja de entrada\Unidades de produccion\Pozo Azul / No. Elementos: 77 / Borrados: 0</t>
  </si>
  <si>
    <t>16/06/2020 11:55:04</t>
  </si>
  <si>
    <t>Carpeta: Bandeja de entrada\William Duran / No. Elementos: 16 / Borrados: 0</t>
  </si>
  <si>
    <t>16/06/2020 11:55:14</t>
  </si>
  <si>
    <t>Carpeta: Bandeja de entrada\William Duran\Despachos / No. Elementos: 20 / Borrados: 0</t>
  </si>
  <si>
    <t>Carpeta: Bandeja de entrada\Gestión Humana / No. Elementos: 1 / Borrados: 0</t>
  </si>
  <si>
    <t>16/06/2020 12:08:38</t>
  </si>
  <si>
    <t>Carpeta: Elementos enviados / No. Elementos: 1897 / Borrados: 2</t>
  </si>
  <si>
    <t>16/06/2020 12:08:43</t>
  </si>
  <si>
    <t>Carpeta: Borrador / No. Elementos: 14 / Borrados: 0</t>
  </si>
  <si>
    <t>Carpeta: Contactos sugeridos / No. Elementos: 1 / Borrados: 0</t>
  </si>
  <si>
    <t>16/06/2020 12:08:46</t>
  </si>
  <si>
    <t>Carpeta: Contactos / No. Elementos: 12 / Borrados: 0</t>
  </si>
  <si>
    <t>Carpetas: 60 / No. Elementos: 5903 / Borrados: 122</t>
  </si>
  <si>
    <t>Carpeta: Elementos eliminados / Elementos: 1 / Acción: eliminar / Eliminados: 1</t>
  </si>
  <si>
    <t>E:\Correo\Bckp</t>
  </si>
  <si>
    <t>Fin</t>
  </si>
  <si>
    <t>26/06/2021 19:25:39</t>
  </si>
  <si>
    <t>\\alabama@avicol.co\Elementos eliminados\Joan Viña</t>
  </si>
  <si>
    <t>0000000091E42B7D58762F43A1A0DE278C72076182890000</t>
  </si>
  <si>
    <t>\\alabama@avicol.co\Bandeja de entrada\Auditoria.</t>
  </si>
  <si>
    <t>\\alabama@avicol.co\Bandeja de entrada\Auditoria.\Bandeja de entrada 2.</t>
  </si>
  <si>
    <t>0000000091E42B7D58762F43A1A0DE278C72076162890000</t>
  </si>
  <si>
    <t>\\alabama@avicol.co\Bandeja de entrada\Auditoria.\Bandeja de entrada 2.\Dr. Jonathan</t>
  </si>
  <si>
    <t>\\alabama@avicol.co\Bandeja de entrada\Gestion e Innovación\Auxiliar Gestion e Innovación\Compras</t>
  </si>
  <si>
    <t>\\alabama@avicol.co\Bandeja de entrada\Gestion e Innovación\Auxiliar Gestion e Innovación\Compras\Andres Carmona</t>
  </si>
  <si>
    <t>\\alabama@avicol.co\Bandeja de entrada\Gestion e Innovación\Auxiliar Gestion e Innovación\Compras\Andres Carmona\Administracion</t>
  </si>
  <si>
    <t>\\alabama@avicol.co\Bandeja de entrada\Gestion e Innovación\Auxiliar Gestion e Innovación\Compras\Andres Carmona\Administracion\Mayerly Amaya</t>
  </si>
  <si>
    <t>\\alabama@avicol.co\Bandeja de entrada\Gestion e Innovación\Auxiliar Gestion e Innovación\Compras\Andres Carmona\Administracion\Mayerly Amaya\Recepcion Avicol</t>
  </si>
  <si>
    <t>\\alabama@avicol.co\Bandeja de entrada\Gestion e Innovación\Auxiliar Gestion e Innovación\Compras\Avicol</t>
  </si>
  <si>
    <t>\\alabama@avicol.co\Bandeja de entrada\Gestion e Innovación\Auxiliar Gestion e Innovación\Compras\Avicol\Edwin Villareal</t>
  </si>
  <si>
    <t>\\alabama@avicol.co\Bandeja de entrada\Produccion\Natalia\Recursos Humanos\Sandra Jaramillo\Carlos Rubio</t>
  </si>
  <si>
    <t>\\alabama@avicol.co\Elementos enviados\Unidades de produccion</t>
  </si>
  <si>
    <t>\\alabama@avicol.co\Elementos enviados\Unidades de produccion\Granja San Antonio</t>
  </si>
  <si>
    <t>\\alabama@avicol.co\Elementos enviados\Unidades de produccion\Granja Esperanza</t>
  </si>
  <si>
    <t>\\alabama@avicol.co\Elementos enviados\Unidades de produccion\Palmas</t>
  </si>
  <si>
    <t>\\alabama@avicol.co\Elementos enviados\Unidades de produccion\Pozo Azul</t>
  </si>
  <si>
    <t>\\alabama@avicol.co\Elementos enviados\San Felipe</t>
  </si>
  <si>
    <t>26/06/2021 19:25:56</t>
  </si>
  <si>
    <t>Carpeta: Elementos eliminados / No. Elementos: 27 / Borrados: 0</t>
  </si>
  <si>
    <t>Carpeta: Elementos eliminados\Joan Viña / No. Elementos: 1 / Borrados: 0</t>
  </si>
  <si>
    <t>26/06/2021 19:29:32</t>
  </si>
  <si>
    <t>Carpeta: Bandeja de entrada / No. Elementos: 1454 / Borrados: 3</t>
  </si>
  <si>
    <t>26/06/2021 19:29:56</t>
  </si>
  <si>
    <t>Carpeta: Bandeja de entrada\Auditoria. / No. Elementos: 123 / Borrados: 0</t>
  </si>
  <si>
    <t>26/06/2021 19:38:52</t>
  </si>
  <si>
    <t>Carpeta: Bandeja de entrada\Auditoria.\Bandeja de entrada 2. / No. Elementos: 1785 / Borrados: 0</t>
  </si>
  <si>
    <t>26/06/2021 19:41:45</t>
  </si>
  <si>
    <t>Carpeta: Bandeja de entrada\Auditoria.\Bandeja de entrada 2.\Dr. Jonathan / No. Elementos: 548 / Borrados: 0</t>
  </si>
  <si>
    <t>26/06/2021 19:41:51</t>
  </si>
  <si>
    <t>Carpeta: Bandeja de entrada\Auditoria.\Bandeja de entrada 2.\Dr. Jonathan\Nestor Prada / No. Elementos: 22 / Borrados: 0</t>
  </si>
  <si>
    <t>26/06/2021 19:42:09</t>
  </si>
  <si>
    <t>Carpeta: Bandeja de entrada\Auditoria.\Bandeja de entrada 2.\Dra. Monica / No. Elementos: 65 / Borrados: 0</t>
  </si>
  <si>
    <t>Carpeta: Bandeja de entrada\Contabilidad / No. Elementos: 16 / Borrados: 0</t>
  </si>
  <si>
    <t>26/06/2021 19:42:10</t>
  </si>
  <si>
    <t>Carpeta: Bandeja de entrada\Contabilidad\Analista Costos / No. Elementos: 9 / Borrados: 0</t>
  </si>
  <si>
    <t>Carpeta: Bandeja de entrada\Convivencia Avicol / No. Elementos: 11 / Borrados: 0</t>
  </si>
  <si>
    <t>Carpeta: Bandeja de entrada\Convivencia Avicol\Dr. Camilo / No. Elementos: 2 / Borrados: 1</t>
  </si>
  <si>
    <t>26/06/2021 19:42:24</t>
  </si>
  <si>
    <t>Carpeta: Bandeja de entrada\Fonavicol / No. Elementos: 71 / Borrados: 0</t>
  </si>
  <si>
    <t>26/06/2021 19:42:25</t>
  </si>
  <si>
    <t>Carpeta: Bandeja de entrada\Fonavicol\asistente fondo / No. Elementos: 28 / Borrados: 0</t>
  </si>
  <si>
    <t>26/06/2021 19:42:59</t>
  </si>
  <si>
    <t>Carpeta: Bandeja de entrada\Fonavicol\asistente fondo\Lider Calidad y Ambiente / No. Elementos: 108 / Borrados: 0</t>
  </si>
  <si>
    <t>26/06/2021 19:43:03</t>
  </si>
  <si>
    <t>Carpeta: Bandeja de entrada\Gestion e Innovación / No. Elementos: 15 / Borrados: 0</t>
  </si>
  <si>
    <t>Carpeta: Bandeja de entrada\Gestion e Innovación\Gerardo Diaz / No. Elementos: 1 / Borrados: 0</t>
  </si>
  <si>
    <t>26/06/2021 19:43:04</t>
  </si>
  <si>
    <t>Carpeta: Bandeja de entrada\Gestion e Innovación\Gerardo Diaz\Andrea Cabrera / No. Elementos: 5 / Borrados: 0</t>
  </si>
  <si>
    <t>26/06/2021 19:43:06</t>
  </si>
  <si>
    <t>Carpeta: Bandeja de entrada\Gestion e Innovación\Gerardo Diaz\Andrea Cabrera\Marco Tulio / No. Elementos: 10 / Borrados: 0</t>
  </si>
  <si>
    <t>26/06/2021 19:43:07</t>
  </si>
  <si>
    <t>Carpeta: Bandeja de entrada\Gestion e Innovación\Daruma / No. Elementos: 16 / Borrados: 0</t>
  </si>
  <si>
    <t>Carpeta: Bandeja de entrada\Gestion e Innovación\Daruma\Diego Baena / No. Elementos: 14 / Borrados: 0</t>
  </si>
  <si>
    <t>Carpeta: Bandeja de entrada\Gestion e Innovación\Archivo y Metrologia / No. Elementos: 1 / Borrados: 0</t>
  </si>
  <si>
    <t>26/06/2021 19:43:09</t>
  </si>
  <si>
    <t>Carpeta: Bandeja de entrada\Gestion e Innovación\Auxiliar Gestion e Innovación / No. Elementos: 71 / Borrados: 1</t>
  </si>
  <si>
    <t>Carpeta: Bandeja de entrada\Gestion e Innovación\Auxiliar Gestion e Innovación\Compras / No. Elementos: 1 / Borrados: 0</t>
  </si>
  <si>
    <t>Carpeta: Bandeja de entrada\Gestion e Innovación\Auxiliar Gestion e Innovación\Compras\Andres Carmona / No. Elementos: 1 / Borrados: 0</t>
  </si>
  <si>
    <t>Carpeta: Bandeja de entrada\Gestion e Innovación\Auxiliar Gestion e Innovación\Compras\Andres Carmona\Administracion / No. Elementos: 1 / Borrados: 0</t>
  </si>
  <si>
    <t>26/06/2021 19:43:18</t>
  </si>
  <si>
    <t>Carpeta: Bandeja de entrada\Gestion e Innovación\Auxiliar Gestion e Innovación\Compras\Andres Carmona\Administracion\Mayerly Amaya / No. Elementos: 11 / Borrados: 0</t>
  </si>
  <si>
    <t>26/06/2021 19:43:35</t>
  </si>
  <si>
    <t>Carpeta: Bandeja de entrada\Gestion e Innovación\Auxiliar Gestion e Innovación\Compras\Andres Carmona\Administracion\Mayerly Amaya\Recepcion Avicol / No. Elementos: 53 / Borrados: 0</t>
  </si>
  <si>
    <t>26/06/2021 19:43:41</t>
  </si>
  <si>
    <t>Carpeta: Bandeja de entrada\Gestion e Innovación\Auxiliar Gestion e Innovación\Compras\Alquimides Cardenas / No. Elementos: 30 / Borrados: 0</t>
  </si>
  <si>
    <t>Carpeta: Bandeja de entrada\Gestion e Innovación\Auxiliar Gestion e Innovación\Compras\Alquimides Cardenas\Maria Deysi Orozco / No. Elementos: 2 / Borrados: 0</t>
  </si>
  <si>
    <t>26/06/2021 19:43:42</t>
  </si>
  <si>
    <t>Carpeta: Bandeja de entrada\Gestion e Innovación\Auxiliar Gestion e Innovación\Compras\Alquimides Cardenas\Maria Deysi Orozco\Cartera / No. Elementos: 1 / Borrados: 0</t>
  </si>
  <si>
    <t>Carpeta: Bandeja de entrada\Gestion e Innovación\Auxiliar Gestion e Innovación\Compras\Avicol / No. Elementos: 2 / Borrados: 0</t>
  </si>
  <si>
    <t>26/06/2021 19:43:43</t>
  </si>
  <si>
    <t>Carpeta: Bandeja de entrada\Gestion e Innovación\Auxiliar Gestion e Innovación\Compras\Avicol\Edwin Villareal / No. Elementos: 6 / Borrados: 0</t>
  </si>
  <si>
    <t>26/06/2021 19:43:44</t>
  </si>
  <si>
    <t>Carpeta: Bandeja de entrada\Gestion e Innovación\Auxiliar Gestion e Innovación\Susana Lopez / No. Elementos: 11 / Borrados: 0</t>
  </si>
  <si>
    <t>Carpeta: Bandeja de entrada\Laboratorio / No. Elementos: 2 / Borrados: 0</t>
  </si>
  <si>
    <t>Carpeta: Bandeja de entrada\Lina Fandiño / No. Elementos: 1 / Borrados: 0</t>
  </si>
  <si>
    <t>Carpeta: Bandeja de entrada\Produccion\Adriana Quintero / No. Elementos: 1 / Borrados: 0</t>
  </si>
  <si>
    <t>Carpeta: Bandeja de entrada\Produccion\Natalia / No. Elementos: 1 / Borrados: 0</t>
  </si>
  <si>
    <t>Carpeta: Bandeja de entrada\Produccion\Natalia\Recursos Humanos / No. Elementos: 1 / Borrados: 0</t>
  </si>
  <si>
    <t>Carpeta: Bandeja de entrada\Produccion\Natalia\Recursos Humanos\Lider SST / No. Elementos: 9 / Borrados: 0</t>
  </si>
  <si>
    <t>26/06/2021 19:43:47</t>
  </si>
  <si>
    <t>Carpeta: Bandeja de entrada\Produccion\Natalia\Recursos Humanos\Nomina / No. Elementos: 94 / Borrados: 0</t>
  </si>
  <si>
    <t>26/06/2021 19:43:49</t>
  </si>
  <si>
    <t>Carpeta: Bandeja de entrada\Produccion\Natalia\Recursos Humanos\Sandra Jaramillo / No. Elementos: 89 / Borrados: 0</t>
  </si>
  <si>
    <t>26/06/2021 19:43:50</t>
  </si>
  <si>
    <t>Carpeta: Bandeja de entrada\Produccion\Natalia\Recursos Humanos\Sandra Jaramillo\Carlos Rubio / No. Elementos: 7 / Borrados: 0</t>
  </si>
  <si>
    <t>26/06/2021 19:43:51</t>
  </si>
  <si>
    <t>Carpeta: Bandeja de entrada\Produccion\Natalia\Recursos Humanos\Faidory Moreno / No. Elementos: 7 / Borrados: 0</t>
  </si>
  <si>
    <t>26/06/2021 19:43:52</t>
  </si>
  <si>
    <t>Carpeta: Bandeja de entrada\Produccion\Natalia\Recursos Humanos\Giovanny Alzate / No. Elementos: 68 / Borrados: 2</t>
  </si>
  <si>
    <t>Carpeta: Bandeja de entrada\Produccion\Dr. Pablo / No. Elementos: 1 / Borrados: 0</t>
  </si>
  <si>
    <t>26/06/2021 19:43:54</t>
  </si>
  <si>
    <t>Carpeta: Bandeja de entrada\Tics / No. Elementos: 10 / Borrados: 0</t>
  </si>
  <si>
    <t>26/06/2021 19:43:55</t>
  </si>
  <si>
    <t>Carpeta: Bandeja de entrada\Tics\Marcia Rodriguez / No. Elementos: 13 / Borrados: 0</t>
  </si>
  <si>
    <t>26/06/2021 19:44:14</t>
  </si>
  <si>
    <t>Carpeta: Bandeja de entrada\Gestión Humana / No. Elementos: 61 / Borrados: 0</t>
  </si>
  <si>
    <t>26/06/2021 20:00:03</t>
  </si>
  <si>
    <t>Carpeta: Elementos enviados / No. Elementos: 2439 / Borrados: 1</t>
  </si>
  <si>
    <t>26/06/2021 20:00:06</t>
  </si>
  <si>
    <t>Carpeta: Elementos enviados\Unidades de produccion / No. Elementos: 9 / Borrados: 0</t>
  </si>
  <si>
    <t>26/06/2021 20:00:10</t>
  </si>
  <si>
    <t>Carpeta: Elementos enviados\Unidades de produccion\Granja San Antonio / No. Elementos: 10 / Borrados: 0</t>
  </si>
  <si>
    <t>Carpeta: Elementos enviados\Unidades de produccion\Granja Esperanza / No. Elementos: 1 / Borrados: 0</t>
  </si>
  <si>
    <t>Carpeta: Elementos enviados\Unidades de produccion\Palmas / No. Elementos: 2 / Borrados: 0</t>
  </si>
  <si>
    <t>26/06/2021 20:00:11</t>
  </si>
  <si>
    <t>Carpeta: Elementos enviados\Unidades de produccion\William Duran / No. Elementos: 6 / Borrados: 0</t>
  </si>
  <si>
    <t>Carpeta: Elementos enviados\Unidades de produccion\William Duran\Despachos / No. Elementos: 1 / Borrados: 0</t>
  </si>
  <si>
    <t>26/06/2021 20:00:42</t>
  </si>
  <si>
    <t>Carpeta: Elementos enviados\Unidades de produccion\Pozo Azul / No. Elementos: 106 / Borrados: 0</t>
  </si>
  <si>
    <t>Carpeta: Elementos enviados\San Felipe / No. Elementos: 1 / Borrados: 0</t>
  </si>
  <si>
    <t>26/06/2021 20:00:44</t>
  </si>
  <si>
    <t>Carpeta: Borrador / No. Elementos: 18 / Borrados: 0</t>
  </si>
  <si>
    <t>26/06/2021 20:00:46</t>
  </si>
  <si>
    <t>Carpetas: 62 / No. Elementos: 7432 / Borrados: 3885</t>
  </si>
  <si>
    <t>26/06/2021 20:00:48</t>
  </si>
  <si>
    <t>Carpeta: Elementos eliminados / Elementos: 19 / Acción: eliminar / Eliminados: 15</t>
  </si>
  <si>
    <t>\\alabama@avicol.co\Elementos eliminados\Gerardo Diaz</t>
  </si>
  <si>
    <t>\\alabama@avicol.co\Elementos eliminados\Gerardo Diaz\Andrea Cabrera</t>
  </si>
  <si>
    <t>\\alabama@avicol.co\Elementos eliminados\Gerardo Diaz\Andrea Cabrera\Marco Tulio</t>
  </si>
  <si>
    <t>\\alabama@avicol.co\Elementos eliminados\William Duran</t>
  </si>
  <si>
    <t>\\alabama@avicol.co\Elementos eliminados\William Duran\Despachos</t>
  </si>
  <si>
    <t>\\alabama@avicol.co\Bandeja de entrada\Auditoria.\Bandeja de entrada 2.\Dr. Jonathan\Dra. Monica</t>
  </si>
  <si>
    <t>\\alabama@avicol.co\Bandeja de entrada\Auditoria.\Bandeja de entrada 2.\Dr. Jonathan\Dra. Monica\Contabilidad</t>
  </si>
  <si>
    <t>\\alabama@avicol.co\Bandeja de entrada\Auditoria.\Bandeja de entrada 2.\Dr. Jonathan\Dra. Monica\Contabilidad\Analista Costos</t>
  </si>
  <si>
    <t>\\alabama@avicol.co\Bandeja de entrada\Convivencia Avicol\Nestor Prada</t>
  </si>
  <si>
    <t>\\alabama@avicol.co\Bandeja de entrada\Gestion e Innovación\Fonavicol</t>
  </si>
  <si>
    <t>\\alabama@avicol.co\Bandeja de entrada\Gestion e Innovación\Fonavicol\asistente fondo</t>
  </si>
  <si>
    <t>\\alabama@avicol.co\Bandeja de entrada\Gestion e Innovación\Fonavicol\asistente fondo\Lider Calidad y Ambiente</t>
  </si>
  <si>
    <t>\\alabama@avicol.co\Bandeja de entrada\Gestion e Innovación\Auxiliar Gestion e Innovación\Alquimides Cardenas</t>
  </si>
  <si>
    <t>\\alabama@avicol.co\Bandeja de entrada\Gestion e Innovación\Auxiliar Gestion e Innovación\Alquimides Cardenas\Maria Deysi Orozco</t>
  </si>
  <si>
    <t>\\alabama@avicol.co\Bandeja de entrada\Gestion e Innovación\Auxiliar Gestion e Innovación\Alquimides Cardenas\Maria Deysi Orozco\Cartera</t>
  </si>
  <si>
    <t>Carpeta: Elementos eliminados / No. Elementos: 136 / Borrados: 44</t>
  </si>
  <si>
    <t>Carpeta: Elementos eliminados\Gerardo Diaz / No. Elementos: 1 / Borrados: 0</t>
  </si>
  <si>
    <t>Carpeta: Elementos eliminados\Gerardo Diaz\Andrea Cabrera / No. Elementos: 1 / Borrados: 0</t>
  </si>
  <si>
    <t>Carpeta: Elementos eliminados\Gerardo Diaz\Andrea Cabrera\Marco Tulio / No. Elementos: 1 / Borrados: 0</t>
  </si>
  <si>
    <t>Carpeta: Elementos eliminados\William Duran / No. Elementos: 1 / Borrados: 0</t>
  </si>
  <si>
    <t>Carpeta: Elementos eliminados\William Duran\Despachos / No. Elementos: 1 / Borrados: 0</t>
  </si>
  <si>
    <t>Carpeta: Bandeja de entrada / No. Elementos: 14 / Borrados: 1</t>
  </si>
  <si>
    <t>Carpeta: Bandeja de entrada\Auditoria. / No. Elementos: 70 / Borrados: 2</t>
  </si>
  <si>
    <t>Carpeta: Bandeja de entrada\Auditoria.\Bandeja de entrada 2. / No. Elementos: 3169 / Borrados: 46</t>
  </si>
  <si>
    <t>Carpeta: Bandeja de entrada\Auditoria.\Bandeja de entrada 2.\Dr. Jonathan / No. Elementos: 997 / Borrados: 22</t>
  </si>
  <si>
    <t>Carpeta: Bandeja de entrada\Auditoria.\Bandeja de entrada 2.\Dr. Jonathan\Dra. Monica / No. Elementos: 1 / Borrados: 0</t>
  </si>
  <si>
    <t>Carpeta: Bandeja de entrada\Auditoria.\Bandeja de entrada 2.\Dr. Jonathan\Dra. Monica\Contabilidad / No. Elementos: 1 / Borrados: 0</t>
  </si>
  <si>
    <t>Carpeta: Bandeja de entrada\Auditoria.\Bandeja de entrada 2.\Dr. Jonathan\Dra. Monica\Contabilidad\Analista Costos / No. Elementos: 1 / Borrados: 0</t>
  </si>
  <si>
    <t>Carpeta: Bandeja de entrada\Convivencia Avicol / No. Elementos: 1 / Borrados: 0</t>
  </si>
  <si>
    <t>Carpeta: Bandeja de entrada\Convivencia Avicol\Nestor Prada / No. Elementos: 1 / Borrados: 0</t>
  </si>
  <si>
    <t>Carpeta: Bandeja de entrada\Convivencia Avicol\Dr. Camilo / No. Elementos: 1 / Borrados: 0</t>
  </si>
  <si>
    <t>Carpeta: Bandeja de entrada\Gestion e Innovación\Fonavicol / No. Elementos: 2 / Borrados: 1</t>
  </si>
  <si>
    <t>Carpeta: Bandeja de entrada\Gestion e Innovación\Fonavicol\asistente fondo / No. Elementos: 1 / Borrados: 0</t>
  </si>
  <si>
    <t>Carpeta: Bandeja de entrada\Gestion e Innovación\Fonavicol\asistente fondo\Lider Calidad y Ambiente / No. Elementos: 115 / Borrados: 12</t>
  </si>
  <si>
    <t>Carpeta: Bandeja de entrada\Gestion e Innovación\Daruma / No. Elementos: 1 / Borrados: 0</t>
  </si>
  <si>
    <t>Carpeta: Bandeja de entrada\Gestion e Innovación\Daruma\Diego Baena / No. Elementos: 1 / Borrados: 0</t>
  </si>
  <si>
    <t>Carpeta: Bandeja de entrada\Gestion e Innovación\Auxiliar Gestion e Innovación / No. Elementos: 1 / Borrados: 0</t>
  </si>
  <si>
    <t>Carpeta: Bandeja de entrada\Gestion e Innovación\Auxiliar Gestion e Innovación\Compras\Andres Carmona\Administracion\Mayerly Amaya / No. Elementos: 1 / Borrados: 0</t>
  </si>
  <si>
    <t>Carpeta: Bandeja de entrada\Gestion e Innovación\Auxiliar Gestion e Innovación\Compras\Andres Carmona\Administracion\Mayerly Amaya\Recepcion Avicol / No. Elementos: 1 / Borrados: 0</t>
  </si>
  <si>
    <t>Carpeta: Bandeja de entrada\Gestion e Innovación\Auxiliar Gestion e Innovación\Compras\Avicol / No. Elementos: 1 / Borrados: 0</t>
  </si>
  <si>
    <t>Carpeta: Bandeja de entrada\Gestion e Innovación\Auxiliar Gestion e Innovación\Compras\Avicol\Edwin Villareal / No. Elementos: 1 / Borrados: 0</t>
  </si>
  <si>
    <t>Carpeta: Bandeja de entrada\Gestion e Innovación\Auxiliar Gestion e Innovación\Alquimides Cardenas / No. Elementos: 1 / Borrados: 0</t>
  </si>
  <si>
    <t>Carpeta: Bandeja de entrada\Gestion e Innovación\Auxiliar Gestion e Innovación\Alquimides Cardenas\Maria Deysi Orozco / No. Elementos: 1 / Borrados: 0</t>
  </si>
  <si>
    <t>Carpeta: Bandeja de entrada\Gestion e Innovación\Auxiliar Gestion e Innovación\Alquimides Cardenas\Maria Deysi Orozco\Cartera / No. Elementos: 1 / Borrados: 0</t>
  </si>
  <si>
    <t>Carpeta: Bandeja de entrada\Gestion e Innovación\Auxiliar Gestion e Innovación\Susana Lopez / No. Elementos: 1 / Borrados: 0</t>
  </si>
  <si>
    <t>Carpeta: Bandeja de entrada\Laboratorio / No. Elementos: 1 / Borrados: 0</t>
  </si>
  <si>
    <t>Carpeta: Bandeja de entrada\Produccion\Natalia\Recursos Humanos\Lider SST / No. Elementos: 1 / Borrados: 0</t>
  </si>
  <si>
    <t>Carpeta: Bandeja de entrada\Produccion\Natalia\Recursos Humanos\Nomina / No. Elementos: 1 / Borrados: 0</t>
  </si>
  <si>
    <t>Carpeta: Bandeja de entrada\Produccion\Natalia\Recursos Humanos\Sandra Jaramillo / No. Elementos: 1 / Borrados: 0</t>
  </si>
  <si>
    <t>Carpeta: Bandeja de entrada\Produccion\Natalia\Recursos Humanos\Sandra Jaramillo\Carlos Rubio / No. Elementos: 1 / Borrados: 0</t>
  </si>
  <si>
    <t>Carpeta: Bandeja de entrada\Produccion\Natalia\Recursos Humanos\Faidory Moreno / No. Elementos: 1 / Borrados: 0</t>
  </si>
  <si>
    <t>Carpeta: Bandeja de entrada\Produccion\Natalia\Recursos Humanos\Giovanny Alzate / No. Elementos: 2 / Borrados: 1</t>
  </si>
  <si>
    <t>Carpeta: Bandeja de entrada\Tics / No. Elementos: 1 / Borrados: 0</t>
  </si>
  <si>
    <t>Carpeta: Bandeja de entrada\Tics\Marcia Rodriguez / No. Elementos: 1 / Borrados: 0</t>
  </si>
  <si>
    <t>Carpeta: Elementos enviados / No. Elementos: 2061 / Borrados: 55</t>
  </si>
  <si>
    <t>Carpeta: Elementos enviados\Unidades de produccion / No. Elementos: 1 / Borrados: 0</t>
  </si>
  <si>
    <t>Carpeta: Elementos enviados\Unidades de produccion\Granja San Antonio / No. Elementos: 1 / Borrados: 0</t>
  </si>
  <si>
    <t>Carpeta: Elementos enviados\Unidades de produccion\Palmas / No. Elementos: 1 / Borrados: 0</t>
  </si>
  <si>
    <t>Carpeta: Elementos enviados\Unidades de produccion\Pozo Azul / No. Elementos: 1 / Borrados: 0</t>
  </si>
  <si>
    <t>Carpeta: Borrador / No. Elementos: 16 / Borrados: 0</t>
  </si>
  <si>
    <t>Carpeta: Contactos / No. Elementos: 18 / Borrados: 0</t>
  </si>
  <si>
    <t>Carpetas: 62 / No. Elementos: 6589 / Borrados: 284637</t>
  </si>
  <si>
    <t>Carpeta: Elementos eliminados / Elementos: 206 / Acción: eliminar / Eliminados: 23</t>
  </si>
  <si>
    <t>03082022 15:35</t>
  </si>
  <si>
    <t>03082022 16:16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</si>
</sst>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gradientFill degree="90">
        <stop position="0">
          <color theme="0"/>
        </stop>
        <stop position="1">
          <color theme="4" tint="0.59999389629810485"/>
        </stop>
      </gradientFill>
    </fill>
    <fill>
      <patternFill patternType="solid">
        <f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34">
    <border>
      <left/>
      <right/>
      <top/>
      <bottom/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 style="thick">
        <color rgb="FF0070C0"/>
      </right>
      <top style="thin">
        <color rgb="FF0070C0"/>
      </top>
      <bottom/>
      <diagonal/>
    </border>
    <border>
      <left style="thin">
        <color rgb="FF0070C0"/>
      </left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theme="8"/>
      </left>
      <right/>
      <top/>
      <bottom/>
      <diagonal/>
    </border>
    <border>
      <left/>
      <right style="thick">
        <color theme="8"/>
      </right>
      <top/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/>
      <right/>
      <top/>
      <bottom style="thick">
        <color theme="8"/>
      </bottom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/>
      <bottom style="thin">
        <color theme="8"/>
      </bottom>
      <diagonal/>
    </border>
    <border>
      <left/>
      <right/>
      <top/>
      <bottom style="thin">
        <color theme="8"/>
      </bottom>
      <diagonal/>
    </border>
    <border>
      <left/>
      <right style="thick">
        <color theme="8"/>
      </right>
      <top/>
      <bottom style="thin">
        <color theme="8"/>
      </bottom>
      <diagonal/>
    </border>
    <border>
      <left style="thick">
        <color theme="8"/>
      </left>
      <right/>
      <top style="thick">
        <color theme="8"/>
      </top>
      <bottom style="medium">
        <color theme="8"/>
      </bottom>
      <diagonal/>
    </border>
    <border>
      <left/>
      <right/>
      <top style="thick">
        <color theme="8"/>
      </top>
      <bottom style="medium">
        <color theme="8"/>
      </bottom>
      <diagonal/>
    </border>
    <border>
      <left/>
      <right style="thick">
        <color theme="8"/>
      </right>
      <top style="thick">
        <color theme="8"/>
      </top>
      <bottom style="medium">
        <color theme="8"/>
      </bottom>
      <diagonal/>
    </border>
    <border>
      <left/>
      <right style="thick">
        <color theme="7" tint="0.39988402966399123"/>
      </right>
      <top/>
      <bottom/>
      <diagonal/>
    </border>
    <border>
      <left/>
      <right/>
      <top/>
      <bottom style="thick">
        <color theme="7" tint="0.39988402966399123"/>
      </bottom>
      <diagonal/>
    </border>
    <border>
      <left/>
      <right style="thick">
        <color theme="7" tint="0.39988402966399123"/>
      </right>
      <top/>
      <bottom style="thick">
        <color theme="7" tint="0.39988402966399123"/>
      </bottom>
      <diagonal/>
    </border>
    <border>
      <left style="thin">
        <color theme="7" tint="0.39985351115451523"/>
      </left>
      <right/>
      <top style="thin">
        <color theme="7" tint="0.39985351115451523"/>
      </top>
      <bottom/>
      <diagonal/>
    </border>
    <border>
      <left/>
      <right/>
      <top style="thin">
        <color theme="7" tint="0.39985351115451523"/>
      </top>
      <bottom/>
      <diagonal/>
    </border>
    <border>
      <left/>
      <right style="thick">
        <color theme="7" tint="0.39988402966399123"/>
      </right>
      <top style="thin">
        <color theme="7" tint="0.39985351115451523"/>
      </top>
      <bottom/>
      <diagonal/>
    </border>
    <border>
      <left style="thin">
        <color theme="7" tint="0.39985351115451523"/>
      </left>
      <right/>
      <top/>
      <bottom/>
      <diagonal/>
    </border>
    <border>
      <left style="thin">
        <color theme="7" tint="0.39985351115451523"/>
      </left>
      <right/>
      <top/>
      <bottom style="thick">
        <color theme="7" tint="0.39988402966399123"/>
      </bottom>
      <diagonal/>
    </border>
    <border>
      <left/>
      <right/>
      <top style="thin">
        <color theme="8"/>
      </top>
      <bottom/>
      <diagonal/>
    </border>
    <border>
      <left/>
      <right style="thick">
        <color theme="8"/>
      </right>
      <top style="thin">
        <color theme="8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4" borderId="0" applyNumberFormat="0" applyBorder="0" applyAlignment="0" applyProtection="0"/>
  </cellStyleXfs>
  <cellXfs count="65">
    <xf numFmtId="0" fontId="0" fillId="0" borderId="0" xfId="0"/>
    <xf numFmtId="22" fontId="0" fillId="0" borderId="0" xfId="0" applyNumberFormat="1"/>
    <xf numFmtId="0" fontId="0" fillId="2" borderId="0" xfId="0" applyFill="1"/>
    <xf numFmtId="0" fontId="0" fillId="0" borderId="0" xfId="0" applyNumberFormat="1"/>
    <xf numFmtId="9" fontId="0" fillId="0" borderId="0" xfId="1" applyFont="1"/>
    <xf numFmtId="0" fontId="2" fillId="0" borderId="0" xfId="0" applyFont="1"/>
    <xf numFmtId="14" fontId="0" fillId="0" borderId="0" xfId="0" applyNumberFormat="1"/>
    <xf numFmtId="164" fontId="0" fillId="0" borderId="0" xfId="0" applyNumberFormat="1"/>
    <xf numFmtId="0" fontId="4" fillId="0" borderId="0" xfId="0" applyFont="1"/>
    <xf numFmtId="0" fontId="0" fillId="0" borderId="0" xfId="0"/>
    <xf numFmtId="0" fontId="3" fillId="0" borderId="0" xfId="2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Protection="1">
      <protection locked="0"/>
    </xf>
    <xf numFmtId="0" fontId="0" fillId="5" borderId="13" xfId="0" applyFill="1" applyBorder="1"/>
    <xf numFmtId="0" fontId="0" fillId="5" borderId="0" xfId="0" applyFill="1" applyBorder="1"/>
    <xf numFmtId="0" fontId="0" fillId="5" borderId="14" xfId="0" applyFill="1" applyBorder="1"/>
    <xf numFmtId="0" fontId="0" fillId="5" borderId="0" xfId="0" applyNumberFormat="1" applyFill="1" applyBorder="1"/>
    <xf numFmtId="0" fontId="0" fillId="5" borderId="0" xfId="0" applyFill="1" applyBorder="1" applyAlignment="1">
      <alignment horizontal="right"/>
    </xf>
    <xf numFmtId="0" fontId="2" fillId="5" borderId="0" xfId="0" applyFont="1" applyFill="1" applyBorder="1"/>
    <xf numFmtId="22" fontId="0" fillId="5" borderId="0" xfId="0" applyNumberFormat="1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17" xfId="0" applyFill="1" applyBorder="1"/>
    <xf numFmtId="0" fontId="0" fillId="5" borderId="19" xfId="0" applyFill="1" applyBorder="1"/>
    <xf numFmtId="0" fontId="0" fillId="5" borderId="20" xfId="0" applyFill="1" applyBorder="1"/>
    <xf numFmtId="0" fontId="6" fillId="5" borderId="13" xfId="0" applyFont="1" applyFill="1" applyBorder="1"/>
    <xf numFmtId="0" fontId="0" fillId="5" borderId="13" xfId="0" applyFill="1" applyBorder="1" applyAlignment="1">
      <alignment horizontal="right"/>
    </xf>
    <xf numFmtId="0" fontId="0" fillId="6" borderId="0" xfId="0" applyFill="1" applyBorder="1"/>
    <xf numFmtId="0" fontId="0" fillId="6" borderId="24" xfId="0" applyFill="1" applyBorder="1"/>
    <xf numFmtId="0" fontId="0" fillId="6" borderId="25" xfId="0" applyFill="1" applyBorder="1"/>
    <xf numFmtId="0" fontId="0" fillId="6" borderId="26" xfId="0" applyFill="1" applyBorder="1"/>
    <xf numFmtId="0" fontId="7" fillId="6" borderId="27" xfId="0" applyFont="1" applyFill="1" applyBorder="1"/>
    <xf numFmtId="0" fontId="0" fillId="6" borderId="28" xfId="0" applyFill="1" applyBorder="1"/>
    <xf numFmtId="0" fontId="0" fillId="6" borderId="29" xfId="0" applyFill="1" applyBorder="1"/>
    <xf numFmtId="0" fontId="0" fillId="6" borderId="30" xfId="0" applyFill="1" applyBorder="1"/>
    <xf numFmtId="0" fontId="0" fillId="6" borderId="31" xfId="0" applyFill="1" applyBorder="1"/>
    <xf numFmtId="0" fontId="8" fillId="6" borderId="30" xfId="0" applyFont="1" applyFill="1" applyBorder="1"/>
    <xf numFmtId="0" fontId="8" fillId="6" borderId="0" xfId="0" applyFont="1" applyFill="1" applyBorder="1"/>
    <xf numFmtId="0" fontId="0" fillId="5" borderId="32" xfId="0" applyFill="1" applyBorder="1"/>
    <xf numFmtId="0" fontId="0" fillId="5" borderId="33" xfId="0" applyFill="1" applyBorder="1"/>
    <xf numFmtId="22" fontId="8" fillId="6" borderId="24" xfId="0" applyNumberFormat="1" applyFont="1" applyFill="1" applyBorder="1" applyAlignment="1">
      <alignment horizontal="right"/>
    </xf>
    <xf numFmtId="0" fontId="8" fillId="6" borderId="24" xfId="0" applyFont="1" applyFill="1" applyBorder="1" applyAlignment="1">
      <alignment horizontal="right"/>
    </xf>
    <xf numFmtId="20" fontId="8" fillId="6" borderId="24" xfId="0" applyNumberFormat="1" applyFont="1" applyFill="1" applyBorder="1" applyAlignment="1">
      <alignment horizontal="right"/>
    </xf>
    <xf numFmtId="0" fontId="6" fillId="5" borderId="18" xfId="0" applyFont="1" applyFill="1" applyBorder="1"/>
    <xf numFmtId="0" fontId="0" fillId="5" borderId="13" xfId="0" applyFill="1" applyBorder="1" applyAlignment="1">
      <alignment horizontal="left"/>
    </xf>
    <xf numFmtId="0" fontId="0" fillId="5" borderId="18" xfId="0" applyFill="1" applyBorder="1" applyAlignment="1">
      <alignment horizontal="right"/>
    </xf>
    <xf numFmtId="22" fontId="0" fillId="5" borderId="19" xfId="0" applyNumberFormat="1" applyFill="1" applyBorder="1"/>
    <xf numFmtId="0" fontId="0" fillId="5" borderId="13" xfId="0" applyFont="1" applyFill="1" applyBorder="1" applyAlignment="1">
      <alignment horizontal="left"/>
    </xf>
    <xf numFmtId="0" fontId="3" fillId="3" borderId="1" xfId="2" applyFill="1" applyBorder="1" applyAlignment="1">
      <alignment horizontal="center" vertical="center" wrapText="1"/>
    </xf>
    <xf numFmtId="0" fontId="3" fillId="3" borderId="2" xfId="2" applyFill="1" applyBorder="1" applyAlignment="1">
      <alignment horizontal="center" vertical="center" wrapText="1"/>
    </xf>
    <xf numFmtId="0" fontId="3" fillId="3" borderId="3" xfId="2" applyFill="1" applyBorder="1" applyAlignment="1">
      <alignment horizontal="center" vertical="center" wrapText="1"/>
    </xf>
    <xf numFmtId="0" fontId="3" fillId="3" borderId="4" xfId="2" applyFill="1" applyBorder="1" applyAlignment="1">
      <alignment horizontal="center" vertical="center" wrapText="1"/>
    </xf>
    <xf numFmtId="0" fontId="4" fillId="4" borderId="5" xfId="3" applyBorder="1" applyAlignment="1">
      <alignment horizontal="center" wrapText="1"/>
    </xf>
    <xf numFmtId="0" fontId="4" fillId="4" borderId="6" xfId="3" applyBorder="1" applyAlignment="1">
      <alignment horizontal="center" wrapText="1"/>
    </xf>
    <xf numFmtId="0" fontId="4" fillId="4" borderId="7" xfId="3" applyBorder="1" applyAlignment="1">
      <alignment horizontal="center" wrapText="1"/>
    </xf>
    <xf numFmtId="0" fontId="4" fillId="4" borderId="8" xfId="3" applyBorder="1" applyAlignment="1">
      <alignment horizontal="center" wrapText="1"/>
    </xf>
    <xf numFmtId="0" fontId="4" fillId="4" borderId="0" xfId="3" applyBorder="1" applyAlignment="1">
      <alignment horizontal="center" wrapText="1"/>
    </xf>
    <xf numFmtId="0" fontId="4" fillId="4" borderId="9" xfId="3" applyBorder="1" applyAlignment="1">
      <alignment horizontal="center" wrapText="1"/>
    </xf>
    <xf numFmtId="0" fontId="4" fillId="4" borderId="10" xfId="3" applyBorder="1" applyAlignment="1">
      <alignment horizontal="center" wrapText="1"/>
    </xf>
    <xf numFmtId="0" fontId="4" fillId="4" borderId="11" xfId="3" applyBorder="1" applyAlignment="1">
      <alignment horizontal="center" wrapText="1"/>
    </xf>
    <xf numFmtId="0" fontId="4" fillId="4" borderId="12" xfId="3" applyBorder="1" applyAlignment="1">
      <alignment horizontal="center" wrapText="1"/>
    </xf>
    <xf numFmtId="0" fontId="5" fillId="5" borderId="21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3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4">
    <cellStyle name="Énfasis5" xfId="3" builtinId="45"/>
    <cellStyle name="Hipervínculo" xfId="2" builtinId="8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30"/>
  <sheetViews>
    <sheetView topLeftCell="A11" workbookViewId="0">
      <selection activeCell="B30" sqref="B30"/>
    </sheetView>
  </sheetViews>
  <sheetFormatPr baseColWidth="10" defaultRowHeight="15" x14ac:dyDescent="0.25"/>
  <sheetData>
    <row r="1" spans="1:2" x14ac:dyDescent="0.25">
      <c r="A1" t="s">
        <v>2</v>
      </c>
    </row>
    <row r="3" spans="1:2" x14ac:dyDescent="0.25">
      <c r="B3" t="s">
        <v>9</v>
      </c>
    </row>
    <row r="4" spans="1:2" x14ac:dyDescent="0.25">
      <c r="B4" t="s">
        <v>20</v>
      </c>
    </row>
    <row r="5" spans="1:2" x14ac:dyDescent="0.25">
      <c r="B5" t="s">
        <v>26</v>
      </c>
    </row>
    <row r="6" spans="1:2" x14ac:dyDescent="0.25">
      <c r="B6" t="s">
        <v>27</v>
      </c>
    </row>
    <row r="7" spans="1:2" x14ac:dyDescent="0.25">
      <c r="B7" t="s">
        <v>28</v>
      </c>
    </row>
    <row r="8" spans="1:2" x14ac:dyDescent="0.25">
      <c r="B8" t="s">
        <v>31</v>
      </c>
    </row>
    <row r="9" spans="1:2" x14ac:dyDescent="0.25">
      <c r="B9" t="s">
        <v>54</v>
      </c>
    </row>
    <row r="10" spans="1:2" x14ac:dyDescent="0.25">
      <c r="B10" t="s">
        <v>213</v>
      </c>
    </row>
    <row r="11" spans="1:2" x14ac:dyDescent="0.25">
      <c r="B11" s="9" t="s">
        <v>214</v>
      </c>
    </row>
    <row r="12" spans="1:2" s="9" customFormat="1" x14ac:dyDescent="0.25">
      <c r="B12" s="9" t="s">
        <v>225</v>
      </c>
    </row>
    <row r="13" spans="1:2" s="9" customFormat="1" x14ac:dyDescent="0.25">
      <c r="B13" s="9" t="s">
        <v>226</v>
      </c>
    </row>
    <row r="14" spans="1:2" s="9" customFormat="1" x14ac:dyDescent="0.25"/>
    <row r="15" spans="1:2" ht="15.75" customHeight="1" x14ac:dyDescent="0.25">
      <c r="A15" t="s">
        <v>3</v>
      </c>
    </row>
    <row r="17" spans="1:2" x14ac:dyDescent="0.25">
      <c r="B17" t="s">
        <v>10</v>
      </c>
    </row>
    <row r="21" spans="1:2" x14ac:dyDescent="0.25">
      <c r="A21" t="s">
        <v>34</v>
      </c>
    </row>
    <row r="23" spans="1:2" x14ac:dyDescent="0.25">
      <c r="B23" t="s">
        <v>35</v>
      </c>
    </row>
    <row r="24" spans="1:2" x14ac:dyDescent="0.25">
      <c r="B24" t="s">
        <v>36</v>
      </c>
    </row>
    <row r="25" spans="1:2" x14ac:dyDescent="0.25">
      <c r="B25" t="s">
        <v>37</v>
      </c>
    </row>
    <row r="26" spans="1:2" x14ac:dyDescent="0.25">
      <c r="B26" t="s">
        <v>55</v>
      </c>
    </row>
    <row r="27" spans="1:2" x14ac:dyDescent="0.25">
      <c r="B27" t="s">
        <v>211</v>
      </c>
    </row>
    <row r="28" spans="1:2" x14ac:dyDescent="0.25">
      <c r="B28" t="s">
        <v>223</v>
      </c>
    </row>
    <row r="29" spans="1:2" x14ac:dyDescent="0.25">
      <c r="B29" t="s">
        <v>224</v>
      </c>
    </row>
    <row r="30" spans="1:2" x14ac:dyDescent="0.25">
      <c r="B30" t="s">
        <v>212</v>
      </c>
    </row>
  </sheetData>
  <sheetProtection password="E622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BL40"/>
  <sheetViews>
    <sheetView tabSelected="1" workbookViewId="0">
      <selection activeCell="F18" sqref="F18:G19"/>
    </sheetView>
  </sheetViews>
  <sheetFormatPr baseColWidth="10" defaultRowHeight="15" x14ac:dyDescent="0.25"/>
  <cols>
    <col min="1" max="14" width="11.42578125" customWidth="1"/>
    <col min="15" max="15" width="14.7109375" bestFit="1" customWidth="1"/>
    <col min="16" max="101" width="11.42578125" customWidth="1"/>
  </cols>
  <sheetData>
    <row r="1" spans="2:64" ht="15.75" thickBot="1" x14ac:dyDescent="0.3"/>
    <row r="2" spans="2:64" ht="16.5" thickTop="1" thickBot="1" x14ac:dyDescent="0.3">
      <c r="B2" s="61" t="s">
        <v>189</v>
      </c>
      <c r="C2" s="62"/>
      <c r="D2" s="62"/>
      <c r="E2" s="62"/>
      <c r="F2" s="62"/>
      <c r="G2" s="62"/>
      <c r="H2" s="62"/>
      <c r="I2" s="62"/>
      <c r="J2" s="62"/>
      <c r="K2" s="63"/>
      <c r="M2" s="52" t="s">
        <v>229</v>
      </c>
      <c r="N2" s="53"/>
      <c r="O2" s="54"/>
    </row>
    <row r="3" spans="2:64" x14ac:dyDescent="0.25">
      <c r="B3" s="25" t="s">
        <v>190</v>
      </c>
      <c r="C3" s="14"/>
      <c r="D3" s="14"/>
      <c r="E3" s="14"/>
      <c r="F3" s="14"/>
      <c r="G3" s="14"/>
      <c r="H3" s="14"/>
      <c r="I3" s="14"/>
      <c r="J3" s="14"/>
      <c r="K3" s="15"/>
      <c r="M3" s="55"/>
      <c r="N3" s="56"/>
      <c r="O3" s="57"/>
    </row>
    <row r="4" spans="2:64" x14ac:dyDescent="0.25">
      <c r="B4" s="25" t="s">
        <v>206</v>
      </c>
      <c r="C4" s="14"/>
      <c r="D4" s="14"/>
      <c r="E4" s="14"/>
      <c r="F4" s="14"/>
      <c r="G4" s="14"/>
      <c r="H4" s="14"/>
      <c r="I4" s="14"/>
      <c r="J4" s="14"/>
      <c r="K4" s="15"/>
      <c r="M4" s="55"/>
      <c r="N4" s="56"/>
      <c r="O4" s="57"/>
    </row>
    <row r="5" spans="2:64" x14ac:dyDescent="0.25">
      <c r="B5" s="43" t="s">
        <v>221</v>
      </c>
      <c r="C5" s="23"/>
      <c r="D5" s="23"/>
      <c r="E5" s="23"/>
      <c r="F5" s="23"/>
      <c r="G5" s="23"/>
      <c r="H5" s="23"/>
      <c r="I5" s="23"/>
      <c r="J5" s="23"/>
      <c r="K5" s="24"/>
      <c r="M5" s="55"/>
      <c r="N5" s="56"/>
      <c r="O5" s="57"/>
    </row>
    <row r="6" spans="2:64" ht="15.75" thickBot="1" x14ac:dyDescent="0.3">
      <c r="B6" s="13" t="s">
        <v>215</v>
      </c>
      <c r="C6" s="17"/>
      <c r="D6" s="38"/>
      <c r="E6" s="38"/>
      <c r="F6" s="38"/>
      <c r="G6" s="38"/>
      <c r="H6" s="38"/>
      <c r="I6" s="38"/>
      <c r="J6" s="38"/>
      <c r="K6" s="39"/>
      <c r="M6" s="58"/>
      <c r="N6" s="59"/>
      <c r="O6" s="60"/>
    </row>
    <row r="7" spans="2:64" ht="15.75" thickTop="1" x14ac:dyDescent="0.25">
      <c r="B7" s="26" t="s">
        <v>191</v>
      </c>
      <c r="C7" s="14" t="s">
        <v>192</v>
      </c>
      <c r="D7" s="16"/>
      <c r="E7" s="14"/>
      <c r="F7" s="14"/>
      <c r="G7" s="14"/>
      <c r="H7" s="14"/>
      <c r="I7" s="14"/>
      <c r="J7" s="14"/>
      <c r="K7" s="15"/>
    </row>
    <row r="8" spans="2:64" x14ac:dyDescent="0.25">
      <c r="B8" s="26" t="s">
        <v>193</v>
      </c>
      <c r="C8" s="19" t="s">
        <v>194</v>
      </c>
      <c r="D8" s="16"/>
      <c r="E8" s="14"/>
      <c r="F8" s="14"/>
      <c r="G8" s="14"/>
      <c r="H8" s="14"/>
      <c r="I8" s="14"/>
      <c r="J8" s="14"/>
      <c r="K8" s="15"/>
      <c r="M8" s="31" t="s">
        <v>205</v>
      </c>
      <c r="N8" s="32"/>
      <c r="O8" s="33"/>
    </row>
    <row r="9" spans="2:64" x14ac:dyDescent="0.25">
      <c r="B9" s="26" t="s">
        <v>195</v>
      </c>
      <c r="C9" s="19" t="s">
        <v>196</v>
      </c>
      <c r="D9" s="16"/>
      <c r="E9" s="14"/>
      <c r="F9" s="14"/>
      <c r="G9" s="14"/>
      <c r="H9" s="14"/>
      <c r="I9" s="14"/>
      <c r="J9" s="14"/>
      <c r="K9" s="15"/>
      <c r="M9" s="34"/>
      <c r="N9" s="27"/>
      <c r="O9" s="28"/>
    </row>
    <row r="10" spans="2:64" x14ac:dyDescent="0.25">
      <c r="B10" s="26" t="s">
        <v>197</v>
      </c>
      <c r="C10" s="19" t="s">
        <v>207</v>
      </c>
      <c r="D10" s="14"/>
      <c r="E10" s="18"/>
      <c r="F10" s="14"/>
      <c r="G10" s="19"/>
      <c r="H10" s="14"/>
      <c r="I10" s="14"/>
      <c r="J10" s="14"/>
      <c r="K10" s="15"/>
      <c r="M10" s="36" t="s">
        <v>201</v>
      </c>
      <c r="N10" s="37"/>
      <c r="O10" s="40" t="s">
        <v>622</v>
      </c>
    </row>
    <row r="11" spans="2:64" x14ac:dyDescent="0.25">
      <c r="B11" s="26" t="s">
        <v>198</v>
      </c>
      <c r="C11" s="19" t="s">
        <v>208</v>
      </c>
      <c r="D11" s="14"/>
      <c r="E11" s="14"/>
      <c r="F11" s="14"/>
      <c r="G11" s="14"/>
      <c r="H11" s="14"/>
      <c r="I11" s="14"/>
      <c r="J11" s="14"/>
      <c r="K11" s="15"/>
      <c r="M11" s="36" t="s">
        <v>199</v>
      </c>
      <c r="N11" s="37"/>
      <c r="O11" s="41">
        <v>1</v>
      </c>
    </row>
    <row r="12" spans="2:64" x14ac:dyDescent="0.25">
      <c r="B12" s="45" t="s">
        <v>209</v>
      </c>
      <c r="C12" s="46" t="s">
        <v>222</v>
      </c>
      <c r="D12" s="23"/>
      <c r="E12" s="46"/>
      <c r="F12" s="23"/>
      <c r="G12" s="23"/>
      <c r="H12" s="23"/>
      <c r="I12" s="23"/>
      <c r="J12" s="23"/>
      <c r="K12" s="24"/>
      <c r="M12" s="36" t="s">
        <v>203</v>
      </c>
      <c r="N12" s="37"/>
      <c r="O12" s="41">
        <v>3181</v>
      </c>
    </row>
    <row r="13" spans="2:64" x14ac:dyDescent="0.25">
      <c r="B13" s="47" t="s">
        <v>220</v>
      </c>
      <c r="C13" s="19"/>
      <c r="D13" s="14" t="s">
        <v>216</v>
      </c>
      <c r="E13" s="14"/>
      <c r="F13" s="14"/>
      <c r="G13" s="14"/>
      <c r="H13" s="14"/>
      <c r="I13" s="14"/>
      <c r="J13" s="14"/>
      <c r="K13" s="15"/>
      <c r="M13" s="36" t="s">
        <v>204</v>
      </c>
      <c r="N13" s="37"/>
      <c r="O13" s="41">
        <v>2060</v>
      </c>
    </row>
    <row r="14" spans="2:64" x14ac:dyDescent="0.25">
      <c r="B14" s="44"/>
      <c r="C14" s="19"/>
      <c r="D14" s="14" t="s">
        <v>217</v>
      </c>
      <c r="E14" s="14"/>
      <c r="F14" s="14"/>
      <c r="G14" s="14"/>
      <c r="H14" s="14"/>
      <c r="I14" s="14"/>
      <c r="J14" s="14"/>
      <c r="K14" s="15"/>
      <c r="M14" s="36" t="s">
        <v>200</v>
      </c>
      <c r="N14" s="37"/>
      <c r="O14" s="41">
        <v>17</v>
      </c>
    </row>
    <row r="15" spans="2:64" x14ac:dyDescent="0.25">
      <c r="B15" s="44"/>
      <c r="C15" s="19"/>
      <c r="D15" s="14" t="s">
        <v>218</v>
      </c>
      <c r="E15" s="14"/>
      <c r="F15" s="14"/>
      <c r="G15" s="14"/>
      <c r="H15" s="14"/>
      <c r="I15" s="14"/>
      <c r="J15" s="14"/>
      <c r="K15" s="15"/>
      <c r="M15" s="36" t="s">
        <v>202</v>
      </c>
      <c r="N15" s="37"/>
      <c r="O15" s="42" t="s">
        <v>623</v>
      </c>
    </row>
    <row r="16" spans="2:64" ht="15.75" thickBot="1" x14ac:dyDescent="0.3">
      <c r="B16" s="20"/>
      <c r="C16" s="21"/>
      <c r="D16" s="21" t="s">
        <v>219</v>
      </c>
      <c r="E16" s="21"/>
      <c r="F16" s="21"/>
      <c r="G16" s="21"/>
      <c r="H16" s="21"/>
      <c r="I16" s="21"/>
      <c r="J16" s="21"/>
      <c r="K16" s="22"/>
      <c r="M16" s="35"/>
      <c r="N16" s="29"/>
      <c r="O16" s="30"/>
      <c r="BL16" s="10" t="s">
        <v>23</v>
      </c>
    </row>
    <row r="17" spans="6:64" ht="15.75" thickTop="1" x14ac:dyDescent="0.25">
      <c r="BL17" s="10" t="s">
        <v>24</v>
      </c>
    </row>
    <row r="18" spans="6:64" x14ac:dyDescent="0.25">
      <c r="F18" s="48" t="s">
        <v>22</v>
      </c>
      <c r="G18" s="49"/>
      <c r="BL18" t="s">
        <v>228</v>
      </c>
    </row>
    <row r="19" spans="6:64" ht="15.75" thickBot="1" x14ac:dyDescent="0.3">
      <c r="F19" s="50"/>
      <c r="G19" s="51"/>
    </row>
    <row r="20" spans="6:64" ht="15.75" thickTop="1" x14ac:dyDescent="0.25"/>
    <row r="22" spans="6:64" x14ac:dyDescent="0.25">
      <c r="F22" s="3"/>
    </row>
    <row r="23" spans="6:64" x14ac:dyDescent="0.25">
      <c r="F23" s="3"/>
    </row>
    <row r="40" spans="3:10" x14ac:dyDescent="0.25">
      <c r="C40" s="12"/>
      <c r="D40" s="11"/>
      <c r="E40" s="11"/>
      <c r="F40" s="9">
        <v>13</v>
      </c>
      <c r="G40" s="11"/>
      <c r="H40" s="11"/>
      <c r="I40" s="11"/>
      <c r="J40" s="11"/>
    </row>
  </sheetData>
  <sheetProtection algorithmName="SHA-512" hashValue="I0ShmIEOtbgZdh8gmO4dunqr0mVBWngAv5VjWZ6X2mgSYUcMziUst/GpzgHUaOIiPTd3WxF9RmQC7k/FJjvjmg==" saltValue="NChYn31oEoFw0lgmtKPPKQ==" spinCount="100000" sheet="1" objects="1" scenarios="1"/>
  <mergeCells count="3">
    <mergeCell ref="F18:G19"/>
    <mergeCell ref="M2:O6"/>
    <mergeCell ref="B2:K2"/>
  </mergeCells>
  <dataValidations count="1">
    <dataValidation type="textLength" allowBlank="1" showInputMessage="1" showErrorMessage="1" errorTitle="Error" error="No es una instrucción válida!" sqref="D40:E40 G40:J40">
      <formula1>1</formula1>
      <formula2>1</formula2>
    </dataValidation>
  </dataValidations>
  <hyperlinks>
    <hyperlink ref="F18:G19" location="Psts!F18" display="Generar Copia"/>
    <hyperlink ref="BL16" location="Psts!BL16" display="Administrar"/>
    <hyperlink ref="BL17" location="Psts!BL17" display="Modo Usuario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V2:BX2982"/>
  <sheetViews>
    <sheetView topLeftCell="R1" zoomScale="106" zoomScaleNormal="106" workbookViewId="0">
      <selection activeCell="Y9" sqref="Y9"/>
    </sheetView>
  </sheetViews>
  <sheetFormatPr baseColWidth="10" defaultRowHeight="15" x14ac:dyDescent="0.25"/>
  <cols>
    <col min="23" max="23" width="16.85546875" bestFit="1" customWidth="1"/>
    <col min="25" max="25" width="15.5703125" customWidth="1"/>
    <col min="26" max="26" width="16.5703125" bestFit="1" customWidth="1"/>
    <col min="27" max="27" width="12" bestFit="1" customWidth="1"/>
    <col min="30" max="30" width="16.85546875" customWidth="1"/>
    <col min="31" max="31" width="12" bestFit="1" customWidth="1"/>
  </cols>
  <sheetData>
    <row r="2" spans="22:30" x14ac:dyDescent="0.25">
      <c r="AC2" s="6"/>
      <c r="AD2" s="1"/>
    </row>
    <row r="3" spans="22:30" x14ac:dyDescent="0.25">
      <c r="W3" s="64" t="s">
        <v>0</v>
      </c>
      <c r="X3" s="64"/>
      <c r="Y3" s="64"/>
      <c r="Z3" s="64"/>
      <c r="AA3" s="64"/>
      <c r="AB3" s="64"/>
      <c r="AD3" s="1"/>
    </row>
    <row r="4" spans="22:30" x14ac:dyDescent="0.25">
      <c r="AD4" s="7"/>
    </row>
    <row r="5" spans="22:30" x14ac:dyDescent="0.25">
      <c r="W5" t="s">
        <v>6</v>
      </c>
      <c r="X5" s="2">
        <v>1.1000000000000001</v>
      </c>
      <c r="Y5" t="s">
        <v>1</v>
      </c>
      <c r="Z5">
        <v>1</v>
      </c>
      <c r="AA5" s="2">
        <v>1.2</v>
      </c>
      <c r="AB5" t="s">
        <v>4</v>
      </c>
    </row>
    <row r="6" spans="22:30" x14ac:dyDescent="0.25">
      <c r="W6" t="s">
        <v>11</v>
      </c>
      <c r="X6" s="2">
        <v>2.1</v>
      </c>
      <c r="Y6" t="s">
        <v>12</v>
      </c>
      <c r="Z6">
        <v>-18</v>
      </c>
      <c r="AA6" s="2">
        <v>2.2000000000000002</v>
      </c>
      <c r="AB6" t="s">
        <v>5</v>
      </c>
      <c r="AD6" s="9" t="s">
        <v>29</v>
      </c>
    </row>
    <row r="7" spans="22:30" x14ac:dyDescent="0.25">
      <c r="W7" t="s">
        <v>13</v>
      </c>
      <c r="X7" s="2">
        <v>3.1</v>
      </c>
      <c r="Y7" t="s">
        <v>14</v>
      </c>
      <c r="Z7" s="9" t="s">
        <v>29</v>
      </c>
      <c r="AA7" s="2">
        <v>3.2</v>
      </c>
      <c r="AB7" t="s">
        <v>7</v>
      </c>
      <c r="AD7" s="9"/>
    </row>
    <row r="8" spans="22:30" x14ac:dyDescent="0.25">
      <c r="V8" s="4"/>
      <c r="W8" t="s">
        <v>15</v>
      </c>
      <c r="X8" s="2">
        <v>4.0999999999999996</v>
      </c>
      <c r="Y8" t="s">
        <v>16</v>
      </c>
      <c r="Z8" t="str">
        <f>Y5 &amp; "!O10"</f>
        <v>Psts!O10</v>
      </c>
      <c r="AA8" s="2">
        <v>4.2</v>
      </c>
      <c r="AB8" t="s">
        <v>8</v>
      </c>
    </row>
    <row r="9" spans="22:30" x14ac:dyDescent="0.25">
      <c r="V9" s="4"/>
      <c r="W9" t="s">
        <v>210</v>
      </c>
      <c r="X9" s="2">
        <v>5.0999999999999996</v>
      </c>
      <c r="Y9">
        <v>1</v>
      </c>
      <c r="Z9" s="1">
        <v>44628.677824074075</v>
      </c>
      <c r="AA9" s="2">
        <v>5.2</v>
      </c>
      <c r="AB9" t="s">
        <v>21</v>
      </c>
    </row>
    <row r="10" spans="22:30" x14ac:dyDescent="0.25">
      <c r="V10" s="4"/>
      <c r="W10" s="9" t="s">
        <v>227</v>
      </c>
      <c r="X10" s="2">
        <v>6.1</v>
      </c>
      <c r="Y10" t="s">
        <v>230</v>
      </c>
      <c r="Z10" t="s">
        <v>30</v>
      </c>
      <c r="AA10" s="2">
        <v>6.2</v>
      </c>
      <c r="AB10" s="9" t="s">
        <v>33</v>
      </c>
    </row>
    <row r="11" spans="22:30" x14ac:dyDescent="0.25">
      <c r="V11" s="4"/>
      <c r="W11" s="9" t="s">
        <v>188</v>
      </c>
      <c r="X11" s="2">
        <v>7.1</v>
      </c>
      <c r="AA11" s="2">
        <v>7.2</v>
      </c>
      <c r="AB11" s="9" t="s">
        <v>188</v>
      </c>
    </row>
    <row r="12" spans="22:30" x14ac:dyDescent="0.25">
      <c r="V12" s="4"/>
      <c r="W12" t="s">
        <v>32</v>
      </c>
      <c r="X12" s="2">
        <v>8.1</v>
      </c>
      <c r="Y12">
        <v>0</v>
      </c>
      <c r="Z12" t="s">
        <v>437</v>
      </c>
      <c r="AA12" s="2">
        <v>8.1999999999999993</v>
      </c>
      <c r="AB12" s="9" t="s">
        <v>38</v>
      </c>
    </row>
    <row r="13" spans="22:30" x14ac:dyDescent="0.25">
      <c r="V13" s="4"/>
      <c r="W13" t="s">
        <v>39</v>
      </c>
      <c r="X13" s="2">
        <v>9.1</v>
      </c>
      <c r="Y13" t="str">
        <f>Y5 &amp; "!F40"</f>
        <v>Psts!F40</v>
      </c>
      <c r="Z13" t="s">
        <v>40</v>
      </c>
      <c r="AA13" s="2">
        <v>9.1999999999999993</v>
      </c>
      <c r="AB13" s="9" t="s">
        <v>41</v>
      </c>
    </row>
    <row r="14" spans="22:30" x14ac:dyDescent="0.25">
      <c r="V14" s="4"/>
      <c r="W14" t="s">
        <v>43</v>
      </c>
      <c r="X14" s="2">
        <v>10.1</v>
      </c>
      <c r="Y14" t="s">
        <v>42</v>
      </c>
      <c r="Z14" t="s">
        <v>56</v>
      </c>
      <c r="AA14" s="2">
        <v>10.199999999999999</v>
      </c>
      <c r="AB14" s="9" t="s">
        <v>44</v>
      </c>
    </row>
    <row r="15" spans="22:30" x14ac:dyDescent="0.25">
      <c r="W15" t="s">
        <v>53</v>
      </c>
      <c r="X15" s="2">
        <v>11.1</v>
      </c>
      <c r="Y15" t="s">
        <v>51</v>
      </c>
      <c r="Z15">
        <v>0</v>
      </c>
      <c r="AA15" s="2">
        <v>11.2</v>
      </c>
      <c r="AB15" t="s">
        <v>57</v>
      </c>
    </row>
    <row r="2911" spans="64:76" x14ac:dyDescent="0.25">
      <c r="BL2911" s="8" t="s">
        <v>25</v>
      </c>
      <c r="BW2911" t="s">
        <v>49</v>
      </c>
      <c r="BX2911" t="s">
        <v>50</v>
      </c>
    </row>
    <row r="2912" spans="64:76" x14ac:dyDescent="0.25">
      <c r="BW2912" t="s">
        <v>58</v>
      </c>
      <c r="BX2912" t="s">
        <v>123</v>
      </c>
    </row>
    <row r="2913" spans="75:76" x14ac:dyDescent="0.25">
      <c r="BW2913" t="s">
        <v>59</v>
      </c>
      <c r="BX2913" t="s">
        <v>124</v>
      </c>
    </row>
    <row r="2914" spans="75:76" x14ac:dyDescent="0.25">
      <c r="BW2914" t="s">
        <v>60</v>
      </c>
      <c r="BX2914" t="s">
        <v>125</v>
      </c>
    </row>
    <row r="2915" spans="75:76" x14ac:dyDescent="0.25">
      <c r="BW2915" t="s">
        <v>61</v>
      </c>
      <c r="BX2915" t="s">
        <v>126</v>
      </c>
    </row>
    <row r="2916" spans="75:76" x14ac:dyDescent="0.25">
      <c r="BW2916" t="s">
        <v>62</v>
      </c>
      <c r="BX2916" t="s">
        <v>127</v>
      </c>
    </row>
    <row r="2917" spans="75:76" x14ac:dyDescent="0.25">
      <c r="BW2917" t="s">
        <v>63</v>
      </c>
      <c r="BX2917" t="s">
        <v>128</v>
      </c>
    </row>
    <row r="2918" spans="75:76" x14ac:dyDescent="0.25">
      <c r="BW2918" t="s">
        <v>64</v>
      </c>
      <c r="BX2918" t="s">
        <v>129</v>
      </c>
    </row>
    <row r="2919" spans="75:76" x14ac:dyDescent="0.25">
      <c r="BW2919" t="s">
        <v>65</v>
      </c>
      <c r="BX2919" t="s">
        <v>130</v>
      </c>
    </row>
    <row r="2920" spans="75:76" x14ac:dyDescent="0.25">
      <c r="BW2920" t="s">
        <v>66</v>
      </c>
      <c r="BX2920" t="s">
        <v>131</v>
      </c>
    </row>
    <row r="2921" spans="75:76" x14ac:dyDescent="0.25">
      <c r="BW2921" t="s">
        <v>67</v>
      </c>
      <c r="BX2921" t="s">
        <v>132</v>
      </c>
    </row>
    <row r="2922" spans="75:76" x14ac:dyDescent="0.25">
      <c r="BW2922" t="s">
        <v>68</v>
      </c>
      <c r="BX2922" t="s">
        <v>133</v>
      </c>
    </row>
    <row r="2923" spans="75:76" x14ac:dyDescent="0.25">
      <c r="BW2923" t="s">
        <v>69</v>
      </c>
      <c r="BX2923" t="s">
        <v>134</v>
      </c>
    </row>
    <row r="2924" spans="75:76" x14ac:dyDescent="0.25">
      <c r="BW2924" t="s">
        <v>70</v>
      </c>
      <c r="BX2924" t="s">
        <v>135</v>
      </c>
    </row>
    <row r="2925" spans="75:76" x14ac:dyDescent="0.25">
      <c r="BW2925" t="s">
        <v>71</v>
      </c>
      <c r="BX2925" t="s">
        <v>136</v>
      </c>
    </row>
    <row r="2926" spans="75:76" x14ac:dyDescent="0.25">
      <c r="BW2926" t="s">
        <v>72</v>
      </c>
      <c r="BX2926" t="s">
        <v>137</v>
      </c>
    </row>
    <row r="2927" spans="75:76" x14ac:dyDescent="0.25">
      <c r="BW2927" t="s">
        <v>73</v>
      </c>
      <c r="BX2927" t="s">
        <v>138</v>
      </c>
    </row>
    <row r="2928" spans="75:76" x14ac:dyDescent="0.25">
      <c r="BW2928" t="s">
        <v>74</v>
      </c>
      <c r="BX2928" t="s">
        <v>139</v>
      </c>
    </row>
    <row r="2929" spans="75:76" x14ac:dyDescent="0.25">
      <c r="BW2929" t="s">
        <v>75</v>
      </c>
      <c r="BX2929" t="s">
        <v>140</v>
      </c>
    </row>
    <row r="2930" spans="75:76" x14ac:dyDescent="0.25">
      <c r="BW2930" t="s">
        <v>76</v>
      </c>
      <c r="BX2930" t="s">
        <v>141</v>
      </c>
    </row>
    <row r="2931" spans="75:76" x14ac:dyDescent="0.25">
      <c r="BW2931" t="s">
        <v>77</v>
      </c>
      <c r="BX2931" t="s">
        <v>142</v>
      </c>
    </row>
    <row r="2932" spans="75:76" x14ac:dyDescent="0.25">
      <c r="BW2932" t="s">
        <v>78</v>
      </c>
      <c r="BX2932" t="s">
        <v>143</v>
      </c>
    </row>
    <row r="2933" spans="75:76" x14ac:dyDescent="0.25">
      <c r="BW2933" t="s">
        <v>79</v>
      </c>
      <c r="BX2933" t="s">
        <v>144</v>
      </c>
    </row>
    <row r="2934" spans="75:76" x14ac:dyDescent="0.25">
      <c r="BW2934" t="s">
        <v>80</v>
      </c>
      <c r="BX2934" t="s">
        <v>145</v>
      </c>
    </row>
    <row r="2935" spans="75:76" x14ac:dyDescent="0.25">
      <c r="BW2935" t="s">
        <v>81</v>
      </c>
      <c r="BX2935" t="s">
        <v>146</v>
      </c>
    </row>
    <row r="2936" spans="75:76" x14ac:dyDescent="0.25">
      <c r="BW2936" t="s">
        <v>82</v>
      </c>
      <c r="BX2936" t="s">
        <v>147</v>
      </c>
    </row>
    <row r="2937" spans="75:76" x14ac:dyDescent="0.25">
      <c r="BW2937" t="s">
        <v>83</v>
      </c>
      <c r="BX2937" t="s">
        <v>148</v>
      </c>
    </row>
    <row r="2938" spans="75:76" x14ac:dyDescent="0.25">
      <c r="BW2938" t="s">
        <v>84</v>
      </c>
      <c r="BX2938" t="s">
        <v>149</v>
      </c>
    </row>
    <row r="2939" spans="75:76" x14ac:dyDescent="0.25">
      <c r="BW2939" t="s">
        <v>85</v>
      </c>
      <c r="BX2939" t="s">
        <v>150</v>
      </c>
    </row>
    <row r="2940" spans="75:76" x14ac:dyDescent="0.25">
      <c r="BW2940" t="s">
        <v>86</v>
      </c>
      <c r="BX2940" t="s">
        <v>151</v>
      </c>
    </row>
    <row r="2941" spans="75:76" x14ac:dyDescent="0.25">
      <c r="BW2941" t="s">
        <v>87</v>
      </c>
      <c r="BX2941" t="s">
        <v>152</v>
      </c>
    </row>
    <row r="2942" spans="75:76" x14ac:dyDescent="0.25">
      <c r="BW2942" t="s">
        <v>88</v>
      </c>
      <c r="BX2942" t="s">
        <v>153</v>
      </c>
    </row>
    <row r="2943" spans="75:76" x14ac:dyDescent="0.25">
      <c r="BW2943" t="s">
        <v>89</v>
      </c>
      <c r="BX2943" t="s">
        <v>154</v>
      </c>
    </row>
    <row r="2944" spans="75:76" x14ac:dyDescent="0.25">
      <c r="BW2944" t="s">
        <v>90</v>
      </c>
      <c r="BX2944" t="s">
        <v>155</v>
      </c>
    </row>
    <row r="2945" spans="75:76" x14ac:dyDescent="0.25">
      <c r="BW2945" t="s">
        <v>91</v>
      </c>
      <c r="BX2945" t="s">
        <v>156</v>
      </c>
    </row>
    <row r="2946" spans="75:76" x14ac:dyDescent="0.25">
      <c r="BW2946" t="s">
        <v>92</v>
      </c>
      <c r="BX2946" t="s">
        <v>157</v>
      </c>
    </row>
    <row r="2947" spans="75:76" x14ac:dyDescent="0.25">
      <c r="BW2947" t="s">
        <v>93</v>
      </c>
      <c r="BX2947" t="s">
        <v>158</v>
      </c>
    </row>
    <row r="2948" spans="75:76" x14ac:dyDescent="0.25">
      <c r="BW2948" t="s">
        <v>94</v>
      </c>
      <c r="BX2948" t="s">
        <v>159</v>
      </c>
    </row>
    <row r="2949" spans="75:76" x14ac:dyDescent="0.25">
      <c r="BW2949" t="s">
        <v>95</v>
      </c>
      <c r="BX2949" t="s">
        <v>160</v>
      </c>
    </row>
    <row r="2950" spans="75:76" x14ac:dyDescent="0.25">
      <c r="BW2950" t="s">
        <v>96</v>
      </c>
      <c r="BX2950" t="s">
        <v>161</v>
      </c>
    </row>
    <row r="2951" spans="75:76" x14ac:dyDescent="0.25">
      <c r="BW2951" t="s">
        <v>97</v>
      </c>
      <c r="BX2951" t="s">
        <v>162</v>
      </c>
    </row>
    <row r="2952" spans="75:76" x14ac:dyDescent="0.25">
      <c r="BW2952" t="s">
        <v>98</v>
      </c>
      <c r="BX2952" t="s">
        <v>163</v>
      </c>
    </row>
    <row r="2953" spans="75:76" x14ac:dyDescent="0.25">
      <c r="BW2953" t="s">
        <v>99</v>
      </c>
      <c r="BX2953" t="s">
        <v>164</v>
      </c>
    </row>
    <row r="2954" spans="75:76" x14ac:dyDescent="0.25">
      <c r="BW2954" t="s">
        <v>100</v>
      </c>
      <c r="BX2954" t="s">
        <v>165</v>
      </c>
    </row>
    <row r="2955" spans="75:76" x14ac:dyDescent="0.25">
      <c r="BW2955" t="s">
        <v>101</v>
      </c>
      <c r="BX2955" t="s">
        <v>166</v>
      </c>
    </row>
    <row r="2956" spans="75:76" x14ac:dyDescent="0.25">
      <c r="BW2956" t="s">
        <v>102</v>
      </c>
      <c r="BX2956" t="s">
        <v>167</v>
      </c>
    </row>
    <row r="2957" spans="75:76" x14ac:dyDescent="0.25">
      <c r="BW2957" t="s">
        <v>103</v>
      </c>
      <c r="BX2957" t="s">
        <v>168</v>
      </c>
    </row>
    <row r="2958" spans="75:76" x14ac:dyDescent="0.25">
      <c r="BW2958" t="s">
        <v>104</v>
      </c>
      <c r="BX2958" t="s">
        <v>169</v>
      </c>
    </row>
    <row r="2959" spans="75:76" x14ac:dyDescent="0.25">
      <c r="BW2959" t="s">
        <v>105</v>
      </c>
      <c r="BX2959" t="s">
        <v>170</v>
      </c>
    </row>
    <row r="2960" spans="75:76" x14ac:dyDescent="0.25">
      <c r="BW2960" t="s">
        <v>106</v>
      </c>
      <c r="BX2960" t="s">
        <v>171</v>
      </c>
    </row>
    <row r="2961" spans="75:76" x14ac:dyDescent="0.25">
      <c r="BW2961" t="s">
        <v>107</v>
      </c>
      <c r="BX2961" t="s">
        <v>172</v>
      </c>
    </row>
    <row r="2962" spans="75:76" x14ac:dyDescent="0.25">
      <c r="BW2962" t="s">
        <v>108</v>
      </c>
      <c r="BX2962" t="s">
        <v>173</v>
      </c>
    </row>
    <row r="2963" spans="75:76" x14ac:dyDescent="0.25">
      <c r="BW2963" t="s">
        <v>109</v>
      </c>
      <c r="BX2963" t="s">
        <v>174</v>
      </c>
    </row>
    <row r="2964" spans="75:76" x14ac:dyDescent="0.25">
      <c r="BW2964" t="s">
        <v>110</v>
      </c>
      <c r="BX2964" t="s">
        <v>175</v>
      </c>
    </row>
    <row r="2965" spans="75:76" x14ac:dyDescent="0.25">
      <c r="BW2965" t="s">
        <v>111</v>
      </c>
      <c r="BX2965" t="s">
        <v>176</v>
      </c>
    </row>
    <row r="2966" spans="75:76" x14ac:dyDescent="0.25">
      <c r="BW2966" t="s">
        <v>112</v>
      </c>
      <c r="BX2966" t="s">
        <v>177</v>
      </c>
    </row>
    <row r="2967" spans="75:76" x14ac:dyDescent="0.25">
      <c r="BW2967" t="s">
        <v>113</v>
      </c>
      <c r="BX2967" t="s">
        <v>178</v>
      </c>
    </row>
    <row r="2968" spans="75:76" x14ac:dyDescent="0.25">
      <c r="BW2968" t="s">
        <v>114</v>
      </c>
      <c r="BX2968" t="s">
        <v>179</v>
      </c>
    </row>
    <row r="2969" spans="75:76" x14ac:dyDescent="0.25">
      <c r="BW2969" t="s">
        <v>115</v>
      </c>
      <c r="BX2969" t="s">
        <v>180</v>
      </c>
    </row>
    <row r="2970" spans="75:76" x14ac:dyDescent="0.25">
      <c r="BW2970" t="s">
        <v>116</v>
      </c>
      <c r="BX2970" t="s">
        <v>181</v>
      </c>
    </row>
    <row r="2971" spans="75:76" x14ac:dyDescent="0.25">
      <c r="BW2971" t="s">
        <v>117</v>
      </c>
      <c r="BX2971" t="s">
        <v>182</v>
      </c>
    </row>
    <row r="2972" spans="75:76" x14ac:dyDescent="0.25">
      <c r="BW2972" t="s">
        <v>118</v>
      </c>
      <c r="BX2972" t="s">
        <v>183</v>
      </c>
    </row>
    <row r="2973" spans="75:76" x14ac:dyDescent="0.25">
      <c r="BW2973" t="s">
        <v>119</v>
      </c>
      <c r="BX2973" t="s">
        <v>184</v>
      </c>
    </row>
    <row r="2974" spans="75:76" x14ac:dyDescent="0.25">
      <c r="BW2974" t="s">
        <v>120</v>
      </c>
      <c r="BX2974" t="s">
        <v>185</v>
      </c>
    </row>
    <row r="2975" spans="75:76" x14ac:dyDescent="0.25">
      <c r="BW2975" t="s">
        <v>121</v>
      </c>
      <c r="BX2975" t="s">
        <v>186</v>
      </c>
    </row>
    <row r="2976" spans="75:76" x14ac:dyDescent="0.25">
      <c r="BW2976" t="s">
        <v>122</v>
      </c>
      <c r="BX2976" t="s">
        <v>187</v>
      </c>
    </row>
    <row r="2977" spans="75:76" x14ac:dyDescent="0.25">
      <c r="BW2977" t="s">
        <v>51</v>
      </c>
      <c r="BX2977" t="s">
        <v>52</v>
      </c>
    </row>
    <row r="2982" spans="75:76" x14ac:dyDescent="0.25">
      <c r="BX2982" s="8" t="str">
        <f>VLOOKUP(Y15,ctUP,2,FALSE)</f>
        <v>Wbautista2019*</v>
      </c>
    </row>
  </sheetData>
  <sheetProtection algorithmName="SHA-512" hashValue="m+lmNeEmkG4ArT4LfRiS/Ue4B2Y4+v4PZNpG93+tUyVq/LfOBkMD2vZ70920pEwyxQjeVT2yvLtFAWanwAe7YQ==" saltValue="1cizXysaWKkpmNJk/Jk9+w==" spinCount="100000" sheet="1" objects="1" scenarios="1"/>
  <mergeCells count="1">
    <mergeCell ref="W3:AB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W198"/>
  <sheetViews>
    <sheetView workbookViewId="0"/>
  </sheetViews>
  <sheetFormatPr baseColWidth="10" defaultRowHeight="15" x14ac:dyDescent="0.25"/>
  <cols>
    <col min="1" max="1" width="30.42578125" customWidth="1"/>
    <col min="2" max="2" width="32.42578125" customWidth="1"/>
    <col min="24" max="24" width="63.7109375" bestFit="1" customWidth="1"/>
  </cols>
  <sheetData>
    <row r="1" spans="1:75" x14ac:dyDescent="0.25">
      <c r="A1" s="5" t="s">
        <v>17</v>
      </c>
      <c r="B1" s="5" t="s">
        <v>18</v>
      </c>
      <c r="C1" s="5" t="s">
        <v>19</v>
      </c>
      <c r="W1" s="5" t="s">
        <v>17</v>
      </c>
      <c r="X1" s="5" t="s">
        <v>45</v>
      </c>
      <c r="Y1" s="5" t="s">
        <v>46</v>
      </c>
      <c r="Z1" s="5" t="s">
        <v>47</v>
      </c>
      <c r="AA1" s="5" t="s">
        <v>48</v>
      </c>
    </row>
    <row r="2" spans="1:75" x14ac:dyDescent="0.25">
      <c r="A2" t="s">
        <v>231</v>
      </c>
      <c r="B2" t="s">
        <v>232</v>
      </c>
      <c r="C2" t="s">
        <v>233</v>
      </c>
      <c r="W2" s="1">
        <v>44628.649305555555</v>
      </c>
      <c r="X2" t="s">
        <v>234</v>
      </c>
      <c r="Y2">
        <v>135</v>
      </c>
      <c r="Z2" t="s">
        <v>235</v>
      </c>
      <c r="AA2" t="s">
        <v>236</v>
      </c>
    </row>
    <row r="3" spans="1:75" x14ac:dyDescent="0.25">
      <c r="A3" t="s">
        <v>324</v>
      </c>
      <c r="B3" t="s">
        <v>232</v>
      </c>
      <c r="C3" t="s">
        <v>325</v>
      </c>
      <c r="W3" s="1">
        <v>44628.649305555555</v>
      </c>
      <c r="X3" t="s">
        <v>559</v>
      </c>
      <c r="Y3">
        <v>0</v>
      </c>
      <c r="Z3" t="s">
        <v>261</v>
      </c>
      <c r="AA3" t="s">
        <v>236</v>
      </c>
    </row>
    <row r="4" spans="1:75" x14ac:dyDescent="0.25">
      <c r="A4" t="s">
        <v>326</v>
      </c>
      <c r="B4" t="s">
        <v>232</v>
      </c>
      <c r="C4" t="s">
        <v>327</v>
      </c>
      <c r="W4" s="1">
        <v>44628.649305555555</v>
      </c>
      <c r="X4" t="s">
        <v>560</v>
      </c>
      <c r="Y4">
        <v>0</v>
      </c>
      <c r="Z4" t="s">
        <v>262</v>
      </c>
      <c r="AA4" t="s">
        <v>236</v>
      </c>
    </row>
    <row r="5" spans="1:75" x14ac:dyDescent="0.25">
      <c r="A5" t="s">
        <v>328</v>
      </c>
      <c r="B5" t="s">
        <v>232</v>
      </c>
      <c r="C5" t="s">
        <v>329</v>
      </c>
      <c r="W5" s="1">
        <v>44628.649305555555</v>
      </c>
      <c r="X5" t="s">
        <v>561</v>
      </c>
      <c r="Y5">
        <v>0</v>
      </c>
      <c r="Z5" t="s">
        <v>263</v>
      </c>
      <c r="AA5" t="s">
        <v>236</v>
      </c>
    </row>
    <row r="6" spans="1:75" x14ac:dyDescent="0.25">
      <c r="A6" t="s">
        <v>330</v>
      </c>
      <c r="B6" t="s">
        <v>232</v>
      </c>
      <c r="C6" t="s">
        <v>331</v>
      </c>
      <c r="W6" s="1">
        <v>44628.649305555555</v>
      </c>
      <c r="X6" t="s">
        <v>562</v>
      </c>
      <c r="Y6">
        <v>0</v>
      </c>
      <c r="Z6" t="s">
        <v>312</v>
      </c>
      <c r="AA6" t="s">
        <v>236</v>
      </c>
    </row>
    <row r="7" spans="1:75" x14ac:dyDescent="0.25">
      <c r="A7" t="s">
        <v>332</v>
      </c>
      <c r="B7" t="s">
        <v>232</v>
      </c>
      <c r="C7" t="s">
        <v>333</v>
      </c>
      <c r="W7" s="1">
        <v>44628.649305555555</v>
      </c>
      <c r="X7" t="s">
        <v>563</v>
      </c>
      <c r="Y7">
        <v>0</v>
      </c>
      <c r="Z7" t="s">
        <v>313</v>
      </c>
      <c r="AA7" t="s">
        <v>236</v>
      </c>
    </row>
    <row r="8" spans="1:75" x14ac:dyDescent="0.25">
      <c r="A8" t="s">
        <v>332</v>
      </c>
      <c r="B8" t="s">
        <v>232</v>
      </c>
      <c r="C8" t="s">
        <v>334</v>
      </c>
      <c r="W8" s="1">
        <v>44628.649305555555</v>
      </c>
      <c r="X8" t="s">
        <v>440</v>
      </c>
      <c r="Y8">
        <v>0</v>
      </c>
      <c r="Z8" t="s">
        <v>441</v>
      </c>
      <c r="AA8" t="s">
        <v>236</v>
      </c>
      <c r="BW8" s="1"/>
    </row>
    <row r="9" spans="1:75" x14ac:dyDescent="0.25">
      <c r="A9" t="s">
        <v>335</v>
      </c>
      <c r="B9" t="s">
        <v>232</v>
      </c>
      <c r="C9" t="s">
        <v>336</v>
      </c>
      <c r="W9" s="1">
        <v>44628.649305555555</v>
      </c>
      <c r="X9" t="s">
        <v>237</v>
      </c>
      <c r="Y9">
        <v>13</v>
      </c>
      <c r="Z9" t="s">
        <v>238</v>
      </c>
      <c r="AA9" t="s">
        <v>236</v>
      </c>
    </row>
    <row r="10" spans="1:75" x14ac:dyDescent="0.25">
      <c r="A10" t="s">
        <v>335</v>
      </c>
      <c r="B10" t="s">
        <v>232</v>
      </c>
      <c r="C10" t="s">
        <v>337</v>
      </c>
      <c r="W10" s="1">
        <v>44628.649305555555</v>
      </c>
      <c r="X10" t="s">
        <v>442</v>
      </c>
      <c r="Y10">
        <v>69</v>
      </c>
      <c r="Z10" t="s">
        <v>239</v>
      </c>
      <c r="AA10" t="s">
        <v>236</v>
      </c>
    </row>
    <row r="11" spans="1:75" x14ac:dyDescent="0.25">
      <c r="A11" t="s">
        <v>338</v>
      </c>
      <c r="B11" t="s">
        <v>232</v>
      </c>
      <c r="C11" t="s">
        <v>339</v>
      </c>
      <c r="W11" s="1">
        <v>44628.649305555555</v>
      </c>
      <c r="X11" t="s">
        <v>443</v>
      </c>
      <c r="Y11">
        <v>3168</v>
      </c>
      <c r="Z11" t="s">
        <v>444</v>
      </c>
      <c r="AA11" t="s">
        <v>236</v>
      </c>
    </row>
    <row r="12" spans="1:75" x14ac:dyDescent="0.25">
      <c r="A12" t="s">
        <v>340</v>
      </c>
      <c r="B12" t="s">
        <v>232</v>
      </c>
      <c r="C12" t="s">
        <v>341</v>
      </c>
      <c r="W12" s="1">
        <v>44628.649305555555</v>
      </c>
      <c r="X12" t="s">
        <v>445</v>
      </c>
      <c r="Y12">
        <v>996</v>
      </c>
      <c r="Z12" t="s">
        <v>240</v>
      </c>
      <c r="AA12" t="s">
        <v>236</v>
      </c>
    </row>
    <row r="13" spans="1:75" x14ac:dyDescent="0.25">
      <c r="A13" t="s">
        <v>342</v>
      </c>
      <c r="B13" t="s">
        <v>232</v>
      </c>
      <c r="C13" t="s">
        <v>343</v>
      </c>
      <c r="W13" s="1">
        <v>44628.649305555555</v>
      </c>
      <c r="X13" t="s">
        <v>564</v>
      </c>
      <c r="Y13">
        <v>0</v>
      </c>
      <c r="Z13" t="s">
        <v>258</v>
      </c>
      <c r="AA13" t="s">
        <v>236</v>
      </c>
    </row>
    <row r="14" spans="1:75" x14ac:dyDescent="0.25">
      <c r="A14" t="s">
        <v>344</v>
      </c>
      <c r="B14" t="s">
        <v>232</v>
      </c>
      <c r="C14" t="s">
        <v>345</v>
      </c>
      <c r="W14" s="1">
        <v>44628.649305555555</v>
      </c>
      <c r="X14" t="s">
        <v>565</v>
      </c>
      <c r="Y14">
        <v>0</v>
      </c>
      <c r="Z14" t="s">
        <v>252</v>
      </c>
      <c r="AA14" t="s">
        <v>236</v>
      </c>
    </row>
    <row r="15" spans="1:75" x14ac:dyDescent="0.25">
      <c r="A15" t="s">
        <v>346</v>
      </c>
      <c r="B15" t="s">
        <v>232</v>
      </c>
      <c r="C15" t="s">
        <v>347</v>
      </c>
      <c r="W15" s="1">
        <v>44628.649305555555</v>
      </c>
      <c r="X15" t="s">
        <v>566</v>
      </c>
      <c r="Y15">
        <v>0</v>
      </c>
      <c r="Z15" t="s">
        <v>253</v>
      </c>
      <c r="AA15" t="s">
        <v>236</v>
      </c>
    </row>
    <row r="16" spans="1:75" x14ac:dyDescent="0.25">
      <c r="A16" t="s">
        <v>348</v>
      </c>
      <c r="B16" t="s">
        <v>232</v>
      </c>
      <c r="C16" t="s">
        <v>349</v>
      </c>
      <c r="W16" s="1">
        <v>44628.649305555555</v>
      </c>
      <c r="X16" t="s">
        <v>254</v>
      </c>
      <c r="Y16">
        <v>0</v>
      </c>
      <c r="Z16" t="s">
        <v>255</v>
      </c>
      <c r="AA16" t="s">
        <v>236</v>
      </c>
    </row>
    <row r="17" spans="1:27" x14ac:dyDescent="0.25">
      <c r="A17" t="s">
        <v>350</v>
      </c>
      <c r="B17" t="s">
        <v>232</v>
      </c>
      <c r="C17" t="s">
        <v>351</v>
      </c>
      <c r="W17" s="1">
        <v>44628.649305555555</v>
      </c>
      <c r="X17" t="s">
        <v>567</v>
      </c>
      <c r="Y17">
        <v>0</v>
      </c>
      <c r="Z17" t="s">
        <v>241</v>
      </c>
      <c r="AA17" t="s">
        <v>236</v>
      </c>
    </row>
    <row r="18" spans="1:27" x14ac:dyDescent="0.25">
      <c r="A18" t="s">
        <v>352</v>
      </c>
      <c r="B18" t="s">
        <v>232</v>
      </c>
      <c r="C18" t="s">
        <v>353</v>
      </c>
      <c r="W18" s="1">
        <v>44628.649305555555</v>
      </c>
      <c r="X18" t="s">
        <v>256</v>
      </c>
      <c r="Y18">
        <v>0</v>
      </c>
      <c r="Z18" t="s">
        <v>257</v>
      </c>
      <c r="AA18" t="s">
        <v>236</v>
      </c>
    </row>
    <row r="19" spans="1:27" x14ac:dyDescent="0.25">
      <c r="A19" t="s">
        <v>354</v>
      </c>
      <c r="B19" t="s">
        <v>232</v>
      </c>
      <c r="C19" t="s">
        <v>355</v>
      </c>
      <c r="W19" s="1">
        <v>44628.649305555555</v>
      </c>
      <c r="X19" t="s">
        <v>264</v>
      </c>
      <c r="Y19">
        <v>0</v>
      </c>
      <c r="Z19" t="s">
        <v>265</v>
      </c>
      <c r="AA19" t="s">
        <v>236</v>
      </c>
    </row>
    <row r="20" spans="1:27" x14ac:dyDescent="0.25">
      <c r="A20" t="s">
        <v>356</v>
      </c>
      <c r="B20" t="s">
        <v>232</v>
      </c>
      <c r="C20" t="s">
        <v>357</v>
      </c>
      <c r="W20" s="1">
        <v>44628.649305555555</v>
      </c>
      <c r="X20" t="s">
        <v>568</v>
      </c>
      <c r="Y20">
        <v>1</v>
      </c>
      <c r="Z20" t="s">
        <v>259</v>
      </c>
      <c r="AA20" t="s">
        <v>236</v>
      </c>
    </row>
    <row r="21" spans="1:27" x14ac:dyDescent="0.25">
      <c r="A21" t="s">
        <v>358</v>
      </c>
      <c r="B21" t="s">
        <v>232</v>
      </c>
      <c r="C21" t="s">
        <v>359</v>
      </c>
      <c r="W21" s="1">
        <v>44628.649305555555</v>
      </c>
      <c r="X21" t="s">
        <v>569</v>
      </c>
      <c r="Y21">
        <v>0</v>
      </c>
      <c r="Z21" t="s">
        <v>260</v>
      </c>
      <c r="AA21" t="s">
        <v>236</v>
      </c>
    </row>
    <row r="22" spans="1:27" x14ac:dyDescent="0.25">
      <c r="A22" t="s">
        <v>360</v>
      </c>
      <c r="B22" t="s">
        <v>232</v>
      </c>
      <c r="C22" t="s">
        <v>361</v>
      </c>
      <c r="W22" s="1">
        <v>44628.649305555555</v>
      </c>
      <c r="X22" t="s">
        <v>570</v>
      </c>
      <c r="Y22">
        <v>114</v>
      </c>
      <c r="Z22" t="s">
        <v>266</v>
      </c>
      <c r="AA22" t="s">
        <v>236</v>
      </c>
    </row>
    <row r="23" spans="1:27" x14ac:dyDescent="0.25">
      <c r="A23" t="s">
        <v>362</v>
      </c>
      <c r="B23" t="s">
        <v>232</v>
      </c>
      <c r="C23" t="s">
        <v>363</v>
      </c>
      <c r="W23" s="1">
        <v>44628.649305555555</v>
      </c>
      <c r="X23" t="s">
        <v>267</v>
      </c>
      <c r="Y23">
        <v>0</v>
      </c>
      <c r="Z23" t="s">
        <v>268</v>
      </c>
      <c r="AA23" t="s">
        <v>236</v>
      </c>
    </row>
    <row r="24" spans="1:27" x14ac:dyDescent="0.25">
      <c r="A24" t="s">
        <v>364</v>
      </c>
      <c r="B24" t="s">
        <v>232</v>
      </c>
      <c r="C24" t="s">
        <v>365</v>
      </c>
      <c r="W24" s="1">
        <v>44628.649305555555</v>
      </c>
      <c r="X24" t="s">
        <v>269</v>
      </c>
      <c r="Y24">
        <v>0</v>
      </c>
      <c r="Z24" t="s">
        <v>270</v>
      </c>
      <c r="AA24" t="s">
        <v>236</v>
      </c>
    </row>
    <row r="25" spans="1:27" x14ac:dyDescent="0.25">
      <c r="A25" t="s">
        <v>366</v>
      </c>
      <c r="B25" t="s">
        <v>232</v>
      </c>
      <c r="C25" t="s">
        <v>367</v>
      </c>
      <c r="W25" s="1">
        <v>44628.649305555555</v>
      </c>
      <c r="X25" t="s">
        <v>271</v>
      </c>
      <c r="Y25">
        <v>0</v>
      </c>
      <c r="Z25" t="s">
        <v>272</v>
      </c>
      <c r="AA25" t="s">
        <v>236</v>
      </c>
    </row>
    <row r="26" spans="1:27" x14ac:dyDescent="0.25">
      <c r="A26" t="s">
        <v>368</v>
      </c>
      <c r="B26" t="s">
        <v>232</v>
      </c>
      <c r="C26" t="s">
        <v>369</v>
      </c>
      <c r="W26" s="1">
        <v>44628.649305555555</v>
      </c>
      <c r="X26" t="s">
        <v>273</v>
      </c>
      <c r="Y26">
        <v>0</v>
      </c>
      <c r="Z26" t="s">
        <v>274</v>
      </c>
      <c r="AA26" t="s">
        <v>236</v>
      </c>
    </row>
    <row r="27" spans="1:27" x14ac:dyDescent="0.25">
      <c r="A27" t="s">
        <v>370</v>
      </c>
      <c r="B27" t="s">
        <v>232</v>
      </c>
      <c r="C27" t="s">
        <v>371</v>
      </c>
      <c r="W27" s="1">
        <v>44628.649305555555</v>
      </c>
      <c r="X27" t="s">
        <v>446</v>
      </c>
      <c r="Y27">
        <v>0</v>
      </c>
      <c r="Z27" t="s">
        <v>242</v>
      </c>
      <c r="AA27" t="s">
        <v>236</v>
      </c>
    </row>
    <row r="28" spans="1:27" x14ac:dyDescent="0.25">
      <c r="A28" t="s">
        <v>370</v>
      </c>
      <c r="B28" t="s">
        <v>232</v>
      </c>
      <c r="C28" t="s">
        <v>372</v>
      </c>
      <c r="W28" s="1">
        <v>44628.649305555555</v>
      </c>
      <c r="X28" t="s">
        <v>447</v>
      </c>
      <c r="Y28">
        <v>0</v>
      </c>
      <c r="Z28" t="s">
        <v>243</v>
      </c>
      <c r="AA28" t="s">
        <v>236</v>
      </c>
    </row>
    <row r="29" spans="1:27" x14ac:dyDescent="0.25">
      <c r="A29" t="s">
        <v>373</v>
      </c>
      <c r="B29" t="s">
        <v>232</v>
      </c>
      <c r="C29" t="s">
        <v>374</v>
      </c>
      <c r="W29" s="1">
        <v>44628.649305555555</v>
      </c>
      <c r="X29" t="s">
        <v>448</v>
      </c>
      <c r="Y29">
        <v>0</v>
      </c>
      <c r="Z29" t="s">
        <v>244</v>
      </c>
      <c r="AA29" t="s">
        <v>236</v>
      </c>
    </row>
    <row r="30" spans="1:27" x14ac:dyDescent="0.25">
      <c r="A30" t="s">
        <v>375</v>
      </c>
      <c r="B30" t="s">
        <v>232</v>
      </c>
      <c r="C30" t="s">
        <v>376</v>
      </c>
      <c r="W30" s="1">
        <v>44628.649305555555</v>
      </c>
      <c r="X30" t="s">
        <v>449</v>
      </c>
      <c r="Y30">
        <v>0</v>
      </c>
      <c r="Z30" t="s">
        <v>245</v>
      </c>
      <c r="AA30" t="s">
        <v>236</v>
      </c>
    </row>
    <row r="31" spans="1:27" x14ac:dyDescent="0.25">
      <c r="A31" t="s">
        <v>377</v>
      </c>
      <c r="B31" t="s">
        <v>232</v>
      </c>
      <c r="C31" t="s">
        <v>378</v>
      </c>
      <c r="W31" s="1">
        <v>44628.649305555555</v>
      </c>
      <c r="X31" t="s">
        <v>450</v>
      </c>
      <c r="Y31">
        <v>0</v>
      </c>
      <c r="Z31" t="s">
        <v>248</v>
      </c>
      <c r="AA31" t="s">
        <v>236</v>
      </c>
    </row>
    <row r="32" spans="1:27" x14ac:dyDescent="0.25">
      <c r="A32" t="s">
        <v>377</v>
      </c>
      <c r="B32" t="s">
        <v>232</v>
      </c>
      <c r="C32" t="s">
        <v>379</v>
      </c>
      <c r="W32" s="1">
        <v>44628.649305555555</v>
      </c>
      <c r="X32" t="s">
        <v>451</v>
      </c>
      <c r="Y32">
        <v>0</v>
      </c>
      <c r="Z32" t="s">
        <v>250</v>
      </c>
      <c r="AA32" t="s">
        <v>236</v>
      </c>
    </row>
    <row r="33" spans="1:27" x14ac:dyDescent="0.25">
      <c r="A33" t="s">
        <v>380</v>
      </c>
      <c r="B33" t="s">
        <v>232</v>
      </c>
      <c r="C33" t="s">
        <v>381</v>
      </c>
      <c r="W33" s="1">
        <v>44628.649305555555</v>
      </c>
      <c r="X33" t="s">
        <v>452</v>
      </c>
      <c r="Y33">
        <v>0</v>
      </c>
      <c r="Z33" t="s">
        <v>251</v>
      </c>
      <c r="AA33" t="s">
        <v>236</v>
      </c>
    </row>
    <row r="34" spans="1:27" x14ac:dyDescent="0.25">
      <c r="A34" t="s">
        <v>382</v>
      </c>
      <c r="B34" t="s">
        <v>232</v>
      </c>
      <c r="C34" t="s">
        <v>383</v>
      </c>
      <c r="W34" s="1">
        <v>44628.649305555555</v>
      </c>
      <c r="X34" t="s">
        <v>571</v>
      </c>
      <c r="Y34">
        <v>0</v>
      </c>
      <c r="Z34" t="s">
        <v>249</v>
      </c>
      <c r="AA34" t="s">
        <v>236</v>
      </c>
    </row>
    <row r="35" spans="1:27" x14ac:dyDescent="0.25">
      <c r="A35" t="s">
        <v>384</v>
      </c>
      <c r="B35" t="s">
        <v>232</v>
      </c>
      <c r="C35" t="s">
        <v>385</v>
      </c>
      <c r="W35" s="1">
        <v>44628.649305555555</v>
      </c>
      <c r="X35" t="s">
        <v>572</v>
      </c>
      <c r="Y35">
        <v>0</v>
      </c>
      <c r="Z35" t="s">
        <v>246</v>
      </c>
      <c r="AA35" t="s">
        <v>236</v>
      </c>
    </row>
    <row r="36" spans="1:27" x14ac:dyDescent="0.25">
      <c r="A36" t="s">
        <v>384</v>
      </c>
      <c r="B36" t="s">
        <v>232</v>
      </c>
      <c r="C36" t="s">
        <v>386</v>
      </c>
      <c r="W36" s="1">
        <v>44628.649305555555</v>
      </c>
      <c r="X36" t="s">
        <v>573</v>
      </c>
      <c r="Y36">
        <v>0</v>
      </c>
      <c r="Z36" t="s">
        <v>247</v>
      </c>
      <c r="AA36" t="s">
        <v>236</v>
      </c>
    </row>
    <row r="37" spans="1:27" x14ac:dyDescent="0.25">
      <c r="A37" t="s">
        <v>384</v>
      </c>
      <c r="B37" t="s">
        <v>232</v>
      </c>
      <c r="C37" t="s">
        <v>387</v>
      </c>
      <c r="W37" s="1">
        <v>44628.649305555555</v>
      </c>
      <c r="X37" t="s">
        <v>275</v>
      </c>
      <c r="Y37">
        <v>0</v>
      </c>
      <c r="Z37" t="s">
        <v>276</v>
      </c>
      <c r="AA37" t="s">
        <v>236</v>
      </c>
    </row>
    <row r="38" spans="1:27" x14ac:dyDescent="0.25">
      <c r="A38" t="s">
        <v>388</v>
      </c>
      <c r="B38" t="s">
        <v>232</v>
      </c>
      <c r="C38" t="s">
        <v>389</v>
      </c>
      <c r="W38" s="1">
        <v>44628.649305555555</v>
      </c>
      <c r="X38" t="s">
        <v>277</v>
      </c>
      <c r="Y38">
        <v>0</v>
      </c>
      <c r="Z38" t="s">
        <v>278</v>
      </c>
      <c r="AA38" t="s">
        <v>236</v>
      </c>
    </row>
    <row r="39" spans="1:27" x14ac:dyDescent="0.25">
      <c r="A39" t="s">
        <v>390</v>
      </c>
      <c r="B39" t="s">
        <v>232</v>
      </c>
      <c r="C39" t="s">
        <v>391</v>
      </c>
      <c r="W39" s="1">
        <v>44628.649305555555</v>
      </c>
      <c r="X39" t="s">
        <v>279</v>
      </c>
      <c r="Y39">
        <v>0</v>
      </c>
      <c r="Z39" t="s">
        <v>280</v>
      </c>
      <c r="AA39" t="s">
        <v>236</v>
      </c>
    </row>
    <row r="40" spans="1:27" x14ac:dyDescent="0.25">
      <c r="A40" t="s">
        <v>392</v>
      </c>
      <c r="B40" t="s">
        <v>232</v>
      </c>
      <c r="C40" t="s">
        <v>393</v>
      </c>
      <c r="W40" s="1">
        <v>44628.649305555555</v>
      </c>
      <c r="X40" t="s">
        <v>281</v>
      </c>
      <c r="Y40">
        <v>0</v>
      </c>
      <c r="Z40" t="s">
        <v>282</v>
      </c>
      <c r="AA40" t="s">
        <v>236</v>
      </c>
    </row>
    <row r="41" spans="1:27" x14ac:dyDescent="0.25">
      <c r="A41" t="s">
        <v>394</v>
      </c>
      <c r="B41" t="s">
        <v>232</v>
      </c>
      <c r="C41" t="s">
        <v>395</v>
      </c>
      <c r="W41" s="1">
        <v>44628.649305555555</v>
      </c>
      <c r="X41" t="s">
        <v>283</v>
      </c>
      <c r="Y41">
        <v>0</v>
      </c>
      <c r="Z41" t="s">
        <v>284</v>
      </c>
      <c r="AA41" t="s">
        <v>236</v>
      </c>
    </row>
    <row r="42" spans="1:27" x14ac:dyDescent="0.25">
      <c r="A42" t="s">
        <v>396</v>
      </c>
      <c r="B42" t="s">
        <v>232</v>
      </c>
      <c r="C42" t="s">
        <v>397</v>
      </c>
      <c r="W42" s="1">
        <v>44628.649305555555</v>
      </c>
      <c r="X42" t="s">
        <v>285</v>
      </c>
      <c r="Y42">
        <v>0</v>
      </c>
      <c r="Z42" t="s">
        <v>286</v>
      </c>
      <c r="AA42" t="s">
        <v>236</v>
      </c>
    </row>
    <row r="43" spans="1:27" x14ac:dyDescent="0.25">
      <c r="A43" t="s">
        <v>398</v>
      </c>
      <c r="B43" t="s">
        <v>232</v>
      </c>
      <c r="C43" t="s">
        <v>399</v>
      </c>
      <c r="W43" s="1">
        <v>44628.649305555555</v>
      </c>
      <c r="X43" t="s">
        <v>287</v>
      </c>
      <c r="Y43">
        <v>0</v>
      </c>
      <c r="Z43" t="s">
        <v>288</v>
      </c>
      <c r="AA43" t="s">
        <v>236</v>
      </c>
    </row>
    <row r="44" spans="1:27" x14ac:dyDescent="0.25">
      <c r="A44" t="s">
        <v>400</v>
      </c>
      <c r="B44" t="s">
        <v>232</v>
      </c>
      <c r="C44" t="s">
        <v>401</v>
      </c>
      <c r="W44" s="1">
        <v>44628.649305555555</v>
      </c>
      <c r="X44" t="s">
        <v>289</v>
      </c>
      <c r="Y44">
        <v>0</v>
      </c>
      <c r="Z44" t="s">
        <v>290</v>
      </c>
      <c r="AA44" t="s">
        <v>236</v>
      </c>
    </row>
    <row r="45" spans="1:27" x14ac:dyDescent="0.25">
      <c r="A45" t="s">
        <v>402</v>
      </c>
      <c r="B45" t="s">
        <v>232</v>
      </c>
      <c r="C45" t="s">
        <v>403</v>
      </c>
      <c r="W45" s="1">
        <v>44628.649305555555</v>
      </c>
      <c r="X45" t="s">
        <v>291</v>
      </c>
      <c r="Y45">
        <v>0</v>
      </c>
      <c r="Z45" t="s">
        <v>292</v>
      </c>
      <c r="AA45" t="s">
        <v>236</v>
      </c>
    </row>
    <row r="46" spans="1:27" x14ac:dyDescent="0.25">
      <c r="A46" t="s">
        <v>404</v>
      </c>
      <c r="B46" t="s">
        <v>232</v>
      </c>
      <c r="C46" t="s">
        <v>405</v>
      </c>
      <c r="W46" s="1">
        <v>44628.649305555555</v>
      </c>
      <c r="X46" t="s">
        <v>293</v>
      </c>
      <c r="Y46">
        <v>0</v>
      </c>
      <c r="Z46" t="s">
        <v>294</v>
      </c>
      <c r="AA46" t="s">
        <v>236</v>
      </c>
    </row>
    <row r="47" spans="1:27" x14ac:dyDescent="0.25">
      <c r="A47" t="s">
        <v>406</v>
      </c>
      <c r="B47" t="s">
        <v>232</v>
      </c>
      <c r="C47" t="s">
        <v>407</v>
      </c>
      <c r="W47" s="1">
        <v>44628.649305555555</v>
      </c>
      <c r="X47" t="s">
        <v>453</v>
      </c>
      <c r="Y47">
        <v>0</v>
      </c>
      <c r="Z47" t="s">
        <v>303</v>
      </c>
      <c r="AA47" t="s">
        <v>236</v>
      </c>
    </row>
    <row r="48" spans="1:27" x14ac:dyDescent="0.25">
      <c r="A48" t="s">
        <v>408</v>
      </c>
      <c r="B48" t="s">
        <v>232</v>
      </c>
      <c r="C48" t="s">
        <v>409</v>
      </c>
      <c r="W48" s="1">
        <v>44628.649305555555</v>
      </c>
      <c r="X48" t="s">
        <v>295</v>
      </c>
      <c r="Y48">
        <v>0</v>
      </c>
      <c r="Z48" t="s">
        <v>296</v>
      </c>
      <c r="AA48" t="s">
        <v>236</v>
      </c>
    </row>
    <row r="49" spans="1:27" x14ac:dyDescent="0.25">
      <c r="A49" t="s">
        <v>410</v>
      </c>
      <c r="B49" t="s">
        <v>232</v>
      </c>
      <c r="C49" t="s">
        <v>411</v>
      </c>
      <c r="W49" s="1">
        <v>44628.649305555555</v>
      </c>
      <c r="X49" t="s">
        <v>297</v>
      </c>
      <c r="Y49">
        <v>1</v>
      </c>
      <c r="Z49" t="s">
        <v>298</v>
      </c>
      <c r="AA49" t="s">
        <v>236</v>
      </c>
    </row>
    <row r="50" spans="1:27" x14ac:dyDescent="0.25">
      <c r="A50" t="s">
        <v>412</v>
      </c>
      <c r="B50" t="s">
        <v>232</v>
      </c>
      <c r="C50" t="s">
        <v>413</v>
      </c>
      <c r="W50" s="1">
        <v>44628.649305555555</v>
      </c>
      <c r="X50" t="s">
        <v>299</v>
      </c>
      <c r="Y50">
        <v>0</v>
      </c>
      <c r="Z50" t="s">
        <v>300</v>
      </c>
      <c r="AA50" t="s">
        <v>236</v>
      </c>
    </row>
    <row r="51" spans="1:27" x14ac:dyDescent="0.25">
      <c r="A51" t="s">
        <v>414</v>
      </c>
      <c r="B51" t="s">
        <v>232</v>
      </c>
      <c r="C51" t="s">
        <v>415</v>
      </c>
      <c r="W51" s="1">
        <v>44628.649305555555</v>
      </c>
      <c r="X51" t="s">
        <v>301</v>
      </c>
      <c r="Y51">
        <v>0</v>
      </c>
      <c r="Z51" t="s">
        <v>302</v>
      </c>
      <c r="AA51" t="s">
        <v>236</v>
      </c>
    </row>
    <row r="52" spans="1:27" x14ac:dyDescent="0.25">
      <c r="A52" t="s">
        <v>416</v>
      </c>
      <c r="B52" t="s">
        <v>232</v>
      </c>
      <c r="C52" t="s">
        <v>417</v>
      </c>
      <c r="W52" s="1">
        <v>44628.649305555555</v>
      </c>
      <c r="X52" t="s">
        <v>304</v>
      </c>
      <c r="Y52">
        <v>0</v>
      </c>
      <c r="Z52" t="s">
        <v>305</v>
      </c>
      <c r="AA52" t="s">
        <v>236</v>
      </c>
    </row>
    <row r="53" spans="1:27" x14ac:dyDescent="0.25">
      <c r="A53" t="s">
        <v>416</v>
      </c>
      <c r="B53" t="s">
        <v>232</v>
      </c>
      <c r="C53" t="s">
        <v>418</v>
      </c>
      <c r="W53" s="1">
        <v>44628.649305555555</v>
      </c>
      <c r="X53" t="s">
        <v>314</v>
      </c>
      <c r="Y53">
        <v>0</v>
      </c>
      <c r="Z53" t="s">
        <v>315</v>
      </c>
      <c r="AA53" t="s">
        <v>236</v>
      </c>
    </row>
    <row r="54" spans="1:27" x14ac:dyDescent="0.25">
      <c r="A54" t="s">
        <v>419</v>
      </c>
      <c r="B54" t="s">
        <v>232</v>
      </c>
      <c r="C54" t="s">
        <v>420</v>
      </c>
      <c r="W54" s="1">
        <v>44628.649305555555</v>
      </c>
      <c r="X54" t="s">
        <v>316</v>
      </c>
      <c r="Y54">
        <v>2060</v>
      </c>
      <c r="Z54" t="s">
        <v>317</v>
      </c>
      <c r="AA54" t="s">
        <v>236</v>
      </c>
    </row>
    <row r="55" spans="1:27" x14ac:dyDescent="0.25">
      <c r="A55" t="s">
        <v>421</v>
      </c>
      <c r="B55" t="s">
        <v>232</v>
      </c>
      <c r="C55" t="s">
        <v>422</v>
      </c>
      <c r="W55" s="1">
        <v>44628.649305555555</v>
      </c>
      <c r="X55" t="s">
        <v>454</v>
      </c>
      <c r="Y55">
        <v>0</v>
      </c>
      <c r="Z55" t="s">
        <v>306</v>
      </c>
      <c r="AA55" t="s">
        <v>236</v>
      </c>
    </row>
    <row r="56" spans="1:27" x14ac:dyDescent="0.25">
      <c r="A56" t="s">
        <v>423</v>
      </c>
      <c r="B56" t="s">
        <v>232</v>
      </c>
      <c r="C56" t="s">
        <v>424</v>
      </c>
      <c r="W56" s="1">
        <v>44628.649305555555</v>
      </c>
      <c r="X56" t="s">
        <v>455</v>
      </c>
      <c r="Y56">
        <v>0</v>
      </c>
      <c r="Z56" t="s">
        <v>307</v>
      </c>
      <c r="AA56" t="s">
        <v>236</v>
      </c>
    </row>
    <row r="57" spans="1:27" x14ac:dyDescent="0.25">
      <c r="A57" t="s">
        <v>425</v>
      </c>
      <c r="B57" t="s">
        <v>232</v>
      </c>
      <c r="C57" t="s">
        <v>426</v>
      </c>
      <c r="W57" s="1">
        <v>44628.649305555555</v>
      </c>
      <c r="X57" t="s">
        <v>456</v>
      </c>
      <c r="Y57">
        <v>0</v>
      </c>
      <c r="Z57" t="s">
        <v>308</v>
      </c>
      <c r="AA57" t="s">
        <v>236</v>
      </c>
    </row>
    <row r="58" spans="1:27" x14ac:dyDescent="0.25">
      <c r="A58" t="s">
        <v>425</v>
      </c>
      <c r="B58" t="s">
        <v>232</v>
      </c>
      <c r="C58" t="s">
        <v>427</v>
      </c>
      <c r="W58" s="1">
        <v>44628.649305555555</v>
      </c>
      <c r="X58" t="s">
        <v>457</v>
      </c>
      <c r="Y58">
        <v>0</v>
      </c>
      <c r="Z58" t="s">
        <v>310</v>
      </c>
      <c r="AA58" t="s">
        <v>236</v>
      </c>
    </row>
    <row r="59" spans="1:27" x14ac:dyDescent="0.25">
      <c r="A59" t="s">
        <v>428</v>
      </c>
      <c r="B59" t="s">
        <v>232</v>
      </c>
      <c r="C59" t="s">
        <v>429</v>
      </c>
      <c r="W59" s="1">
        <v>44628.649305555555</v>
      </c>
      <c r="X59" t="s">
        <v>458</v>
      </c>
      <c r="Y59">
        <v>0</v>
      </c>
      <c r="Z59" t="s">
        <v>311</v>
      </c>
      <c r="AA59" t="s">
        <v>236</v>
      </c>
    </row>
    <row r="60" spans="1:27" x14ac:dyDescent="0.25">
      <c r="A60" t="s">
        <v>430</v>
      </c>
      <c r="B60" t="s">
        <v>232</v>
      </c>
      <c r="C60" t="s">
        <v>431</v>
      </c>
      <c r="W60" s="1">
        <v>44628.649305555555</v>
      </c>
      <c r="X60" t="s">
        <v>459</v>
      </c>
      <c r="Y60">
        <v>0</v>
      </c>
      <c r="Z60" t="s">
        <v>309</v>
      </c>
      <c r="AA60" t="s">
        <v>236</v>
      </c>
    </row>
    <row r="61" spans="1:27" x14ac:dyDescent="0.25">
      <c r="A61" t="s">
        <v>430</v>
      </c>
      <c r="B61" t="s">
        <v>232</v>
      </c>
      <c r="C61" t="s">
        <v>432</v>
      </c>
      <c r="W61" s="1">
        <v>44628.649305555555</v>
      </c>
      <c r="X61" t="s">
        <v>318</v>
      </c>
      <c r="Y61">
        <v>15</v>
      </c>
      <c r="Z61" t="s">
        <v>319</v>
      </c>
      <c r="AA61" t="s">
        <v>236</v>
      </c>
    </row>
    <row r="62" spans="1:27" x14ac:dyDescent="0.25">
      <c r="A62" t="s">
        <v>433</v>
      </c>
      <c r="B62" t="s">
        <v>232</v>
      </c>
      <c r="C62" t="s">
        <v>434</v>
      </c>
      <c r="W62" s="1">
        <v>44628.649305555555</v>
      </c>
      <c r="X62" t="s">
        <v>320</v>
      </c>
      <c r="Y62">
        <v>0</v>
      </c>
      <c r="Z62" t="s">
        <v>321</v>
      </c>
      <c r="AA62" t="s">
        <v>236</v>
      </c>
    </row>
    <row r="63" spans="1:27" x14ac:dyDescent="0.25">
      <c r="A63" t="s">
        <v>433</v>
      </c>
      <c r="B63" t="s">
        <v>232</v>
      </c>
      <c r="C63" t="s">
        <v>435</v>
      </c>
      <c r="W63" s="1">
        <v>44628.649305555555</v>
      </c>
      <c r="X63" t="s">
        <v>322</v>
      </c>
      <c r="Y63">
        <v>17</v>
      </c>
      <c r="Z63" t="s">
        <v>323</v>
      </c>
      <c r="AA63" t="s">
        <v>236</v>
      </c>
    </row>
    <row r="64" spans="1:27" x14ac:dyDescent="0.25">
      <c r="A64" t="s">
        <v>433</v>
      </c>
      <c r="B64" t="s">
        <v>232</v>
      </c>
      <c r="C64" t="s">
        <v>436</v>
      </c>
      <c r="Y64">
        <f>SUM($Y$2:$Y$63)</f>
        <v>6589</v>
      </c>
    </row>
    <row r="65" spans="1:3" x14ac:dyDescent="0.25">
      <c r="A65" t="s">
        <v>433</v>
      </c>
      <c r="B65" t="s">
        <v>232</v>
      </c>
      <c r="C65" t="s">
        <v>438</v>
      </c>
    </row>
    <row r="66" spans="1:3" x14ac:dyDescent="0.25">
      <c r="A66" t="s">
        <v>439</v>
      </c>
      <c r="B66" t="s">
        <v>232</v>
      </c>
      <c r="C66" t="s">
        <v>233</v>
      </c>
    </row>
    <row r="67" spans="1:3" x14ac:dyDescent="0.25">
      <c r="A67" t="s">
        <v>460</v>
      </c>
      <c r="B67" t="s">
        <v>232</v>
      </c>
      <c r="C67" t="s">
        <v>461</v>
      </c>
    </row>
    <row r="68" spans="1:3" x14ac:dyDescent="0.25">
      <c r="A68" t="s">
        <v>460</v>
      </c>
      <c r="B68" t="s">
        <v>232</v>
      </c>
      <c r="C68" t="s">
        <v>462</v>
      </c>
    </row>
    <row r="69" spans="1:3" x14ac:dyDescent="0.25">
      <c r="A69" t="s">
        <v>463</v>
      </c>
      <c r="B69" t="s">
        <v>232</v>
      </c>
      <c r="C69" t="s">
        <v>464</v>
      </c>
    </row>
    <row r="70" spans="1:3" x14ac:dyDescent="0.25">
      <c r="A70" t="s">
        <v>465</v>
      </c>
      <c r="B70" t="s">
        <v>232</v>
      </c>
      <c r="C70" t="s">
        <v>466</v>
      </c>
    </row>
    <row r="71" spans="1:3" x14ac:dyDescent="0.25">
      <c r="A71" t="s">
        <v>467</v>
      </c>
      <c r="B71" t="s">
        <v>232</v>
      </c>
      <c r="C71" t="s">
        <v>468</v>
      </c>
    </row>
    <row r="72" spans="1:3" x14ac:dyDescent="0.25">
      <c r="A72" t="s">
        <v>469</v>
      </c>
      <c r="B72" t="s">
        <v>232</v>
      </c>
      <c r="C72" t="s">
        <v>470</v>
      </c>
    </row>
    <row r="73" spans="1:3" x14ac:dyDescent="0.25">
      <c r="A73" t="s">
        <v>471</v>
      </c>
      <c r="B73" t="s">
        <v>232</v>
      </c>
      <c r="C73" t="s">
        <v>472</v>
      </c>
    </row>
    <row r="74" spans="1:3" x14ac:dyDescent="0.25">
      <c r="A74" t="s">
        <v>473</v>
      </c>
      <c r="B74" t="s">
        <v>232</v>
      </c>
      <c r="C74" t="s">
        <v>474</v>
      </c>
    </row>
    <row r="75" spans="1:3" x14ac:dyDescent="0.25">
      <c r="A75" t="s">
        <v>473</v>
      </c>
      <c r="B75" t="s">
        <v>232</v>
      </c>
      <c r="C75" t="s">
        <v>475</v>
      </c>
    </row>
    <row r="76" spans="1:3" x14ac:dyDescent="0.25">
      <c r="A76" t="s">
        <v>476</v>
      </c>
      <c r="B76" t="s">
        <v>232</v>
      </c>
      <c r="C76" t="s">
        <v>477</v>
      </c>
    </row>
    <row r="77" spans="1:3" x14ac:dyDescent="0.25">
      <c r="A77" t="s">
        <v>476</v>
      </c>
      <c r="B77" t="s">
        <v>232</v>
      </c>
      <c r="C77" t="s">
        <v>478</v>
      </c>
    </row>
    <row r="78" spans="1:3" x14ac:dyDescent="0.25">
      <c r="A78" t="s">
        <v>476</v>
      </c>
      <c r="B78" t="s">
        <v>232</v>
      </c>
      <c r="C78" t="s">
        <v>479</v>
      </c>
    </row>
    <row r="79" spans="1:3" x14ac:dyDescent="0.25">
      <c r="A79" t="s">
        <v>480</v>
      </c>
      <c r="B79" t="s">
        <v>232</v>
      </c>
      <c r="C79" t="s">
        <v>481</v>
      </c>
    </row>
    <row r="80" spans="1:3" x14ac:dyDescent="0.25">
      <c r="A80" t="s">
        <v>482</v>
      </c>
      <c r="B80" t="s">
        <v>232</v>
      </c>
      <c r="C80" t="s">
        <v>483</v>
      </c>
    </row>
    <row r="81" spans="1:3" x14ac:dyDescent="0.25">
      <c r="A81" t="s">
        <v>484</v>
      </c>
      <c r="B81" t="s">
        <v>232</v>
      </c>
      <c r="C81" t="s">
        <v>485</v>
      </c>
    </row>
    <row r="82" spans="1:3" x14ac:dyDescent="0.25">
      <c r="A82" t="s">
        <v>486</v>
      </c>
      <c r="B82" t="s">
        <v>232</v>
      </c>
      <c r="C82" t="s">
        <v>487</v>
      </c>
    </row>
    <row r="83" spans="1:3" x14ac:dyDescent="0.25">
      <c r="A83" t="s">
        <v>486</v>
      </c>
      <c r="B83" t="s">
        <v>232</v>
      </c>
      <c r="C83" t="s">
        <v>488</v>
      </c>
    </row>
    <row r="84" spans="1:3" x14ac:dyDescent="0.25">
      <c r="A84" t="s">
        <v>489</v>
      </c>
      <c r="B84" t="s">
        <v>232</v>
      </c>
      <c r="C84" t="s">
        <v>490</v>
      </c>
    </row>
    <row r="85" spans="1:3" x14ac:dyDescent="0.25">
      <c r="A85" t="s">
        <v>491</v>
      </c>
      <c r="B85" t="s">
        <v>232</v>
      </c>
      <c r="C85" t="s">
        <v>492</v>
      </c>
    </row>
    <row r="86" spans="1:3" x14ac:dyDescent="0.25">
      <c r="A86" t="s">
        <v>493</v>
      </c>
      <c r="B86" t="s">
        <v>232</v>
      </c>
      <c r="C86" t="s">
        <v>494</v>
      </c>
    </row>
    <row r="87" spans="1:3" x14ac:dyDescent="0.25">
      <c r="A87" t="s">
        <v>493</v>
      </c>
      <c r="B87" t="s">
        <v>232</v>
      </c>
      <c r="C87" t="s">
        <v>495</v>
      </c>
    </row>
    <row r="88" spans="1:3" x14ac:dyDescent="0.25">
      <c r="A88" t="s">
        <v>493</v>
      </c>
      <c r="B88" t="s">
        <v>232</v>
      </c>
      <c r="C88" t="s">
        <v>496</v>
      </c>
    </row>
    <row r="89" spans="1:3" x14ac:dyDescent="0.25">
      <c r="A89" t="s">
        <v>497</v>
      </c>
      <c r="B89" t="s">
        <v>232</v>
      </c>
      <c r="C89" t="s">
        <v>498</v>
      </c>
    </row>
    <row r="90" spans="1:3" x14ac:dyDescent="0.25">
      <c r="A90" t="s">
        <v>497</v>
      </c>
      <c r="B90" t="s">
        <v>232</v>
      </c>
      <c r="C90" t="s">
        <v>499</v>
      </c>
    </row>
    <row r="91" spans="1:3" x14ac:dyDescent="0.25">
      <c r="A91" t="s">
        <v>497</v>
      </c>
      <c r="B91" t="s">
        <v>232</v>
      </c>
      <c r="C91" t="s">
        <v>500</v>
      </c>
    </row>
    <row r="92" spans="1:3" x14ac:dyDescent="0.25">
      <c r="A92" t="s">
        <v>497</v>
      </c>
      <c r="B92" t="s">
        <v>232</v>
      </c>
      <c r="C92" t="s">
        <v>501</v>
      </c>
    </row>
    <row r="93" spans="1:3" x14ac:dyDescent="0.25">
      <c r="A93" t="s">
        <v>502</v>
      </c>
      <c r="B93" t="s">
        <v>232</v>
      </c>
      <c r="C93" t="s">
        <v>503</v>
      </c>
    </row>
    <row r="94" spans="1:3" x14ac:dyDescent="0.25">
      <c r="A94" t="s">
        <v>504</v>
      </c>
      <c r="B94" t="s">
        <v>232</v>
      </c>
      <c r="C94" t="s">
        <v>505</v>
      </c>
    </row>
    <row r="95" spans="1:3" x14ac:dyDescent="0.25">
      <c r="A95" t="s">
        <v>506</v>
      </c>
      <c r="B95" t="s">
        <v>232</v>
      </c>
      <c r="C95" t="s">
        <v>507</v>
      </c>
    </row>
    <row r="96" spans="1:3" x14ac:dyDescent="0.25">
      <c r="A96" t="s">
        <v>506</v>
      </c>
      <c r="B96" t="s">
        <v>232</v>
      </c>
      <c r="C96" t="s">
        <v>508</v>
      </c>
    </row>
    <row r="97" spans="1:3" x14ac:dyDescent="0.25">
      <c r="A97" t="s">
        <v>509</v>
      </c>
      <c r="B97" t="s">
        <v>232</v>
      </c>
      <c r="C97" t="s">
        <v>510</v>
      </c>
    </row>
    <row r="98" spans="1:3" x14ac:dyDescent="0.25">
      <c r="A98" t="s">
        <v>509</v>
      </c>
      <c r="B98" t="s">
        <v>232</v>
      </c>
      <c r="C98" t="s">
        <v>511</v>
      </c>
    </row>
    <row r="99" spans="1:3" x14ac:dyDescent="0.25">
      <c r="A99" t="s">
        <v>512</v>
      </c>
      <c r="B99" t="s">
        <v>232</v>
      </c>
      <c r="C99" t="s">
        <v>513</v>
      </c>
    </row>
    <row r="100" spans="1:3" x14ac:dyDescent="0.25">
      <c r="A100" t="s">
        <v>514</v>
      </c>
      <c r="B100" t="s">
        <v>232</v>
      </c>
      <c r="C100" t="s">
        <v>515</v>
      </c>
    </row>
    <row r="101" spans="1:3" x14ac:dyDescent="0.25">
      <c r="A101" t="s">
        <v>514</v>
      </c>
      <c r="B101" t="s">
        <v>232</v>
      </c>
      <c r="C101" t="s">
        <v>516</v>
      </c>
    </row>
    <row r="102" spans="1:3" x14ac:dyDescent="0.25">
      <c r="A102" t="s">
        <v>514</v>
      </c>
      <c r="B102" t="s">
        <v>232</v>
      </c>
      <c r="C102" t="s">
        <v>517</v>
      </c>
    </row>
    <row r="103" spans="1:3" x14ac:dyDescent="0.25">
      <c r="A103" t="s">
        <v>514</v>
      </c>
      <c r="B103" t="s">
        <v>232</v>
      </c>
      <c r="C103" t="s">
        <v>387</v>
      </c>
    </row>
    <row r="104" spans="1:3" x14ac:dyDescent="0.25">
      <c r="A104" t="s">
        <v>514</v>
      </c>
      <c r="B104" t="s">
        <v>232</v>
      </c>
      <c r="C104" t="s">
        <v>518</v>
      </c>
    </row>
    <row r="105" spans="1:3" x14ac:dyDescent="0.25">
      <c r="A105" t="s">
        <v>514</v>
      </c>
      <c r="B105" t="s">
        <v>232</v>
      </c>
      <c r="C105" t="s">
        <v>519</v>
      </c>
    </row>
    <row r="106" spans="1:3" x14ac:dyDescent="0.25">
      <c r="A106" t="s">
        <v>514</v>
      </c>
      <c r="B106" t="s">
        <v>232</v>
      </c>
      <c r="C106" t="s">
        <v>520</v>
      </c>
    </row>
    <row r="107" spans="1:3" x14ac:dyDescent="0.25">
      <c r="A107" t="s">
        <v>514</v>
      </c>
      <c r="B107" t="s">
        <v>232</v>
      </c>
      <c r="C107" t="s">
        <v>521</v>
      </c>
    </row>
    <row r="108" spans="1:3" x14ac:dyDescent="0.25">
      <c r="A108" t="s">
        <v>522</v>
      </c>
      <c r="B108" t="s">
        <v>232</v>
      </c>
      <c r="C108" t="s">
        <v>523</v>
      </c>
    </row>
    <row r="109" spans="1:3" x14ac:dyDescent="0.25">
      <c r="A109" t="s">
        <v>524</v>
      </c>
      <c r="B109" t="s">
        <v>232</v>
      </c>
      <c r="C109" t="s">
        <v>525</v>
      </c>
    </row>
    <row r="110" spans="1:3" x14ac:dyDescent="0.25">
      <c r="A110" t="s">
        <v>526</v>
      </c>
      <c r="B110" t="s">
        <v>232</v>
      </c>
      <c r="C110" t="s">
        <v>527</v>
      </c>
    </row>
    <row r="111" spans="1:3" x14ac:dyDescent="0.25">
      <c r="A111" t="s">
        <v>528</v>
      </c>
      <c r="B111" t="s">
        <v>232</v>
      </c>
      <c r="C111" t="s">
        <v>529</v>
      </c>
    </row>
    <row r="112" spans="1:3" x14ac:dyDescent="0.25">
      <c r="A112" t="s">
        <v>530</v>
      </c>
      <c r="B112" t="s">
        <v>232</v>
      </c>
      <c r="C112" t="s">
        <v>531</v>
      </c>
    </row>
    <row r="113" spans="1:3" x14ac:dyDescent="0.25">
      <c r="A113" t="s">
        <v>530</v>
      </c>
      <c r="B113" t="s">
        <v>232</v>
      </c>
      <c r="C113" t="s">
        <v>532</v>
      </c>
    </row>
    <row r="114" spans="1:3" x14ac:dyDescent="0.25">
      <c r="A114" t="s">
        <v>533</v>
      </c>
      <c r="B114" t="s">
        <v>232</v>
      </c>
      <c r="C114" t="s">
        <v>534</v>
      </c>
    </row>
    <row r="115" spans="1:3" x14ac:dyDescent="0.25">
      <c r="A115" t="s">
        <v>535</v>
      </c>
      <c r="B115" t="s">
        <v>232</v>
      </c>
      <c r="C115" t="s">
        <v>536</v>
      </c>
    </row>
    <row r="116" spans="1:3" x14ac:dyDescent="0.25">
      <c r="A116" t="s">
        <v>537</v>
      </c>
      <c r="B116" t="s">
        <v>232</v>
      </c>
      <c r="C116" t="s">
        <v>538</v>
      </c>
    </row>
    <row r="117" spans="1:3" x14ac:dyDescent="0.25">
      <c r="A117" t="s">
        <v>539</v>
      </c>
      <c r="B117" t="s">
        <v>232</v>
      </c>
      <c r="C117" t="s">
        <v>540</v>
      </c>
    </row>
    <row r="118" spans="1:3" x14ac:dyDescent="0.25">
      <c r="A118" t="s">
        <v>541</v>
      </c>
      <c r="B118" t="s">
        <v>232</v>
      </c>
      <c r="C118" t="s">
        <v>542</v>
      </c>
    </row>
    <row r="119" spans="1:3" x14ac:dyDescent="0.25">
      <c r="A119" t="s">
        <v>543</v>
      </c>
      <c r="B119" t="s">
        <v>232</v>
      </c>
      <c r="C119" t="s">
        <v>544</v>
      </c>
    </row>
    <row r="120" spans="1:3" x14ac:dyDescent="0.25">
      <c r="A120" t="s">
        <v>543</v>
      </c>
      <c r="B120" t="s">
        <v>232</v>
      </c>
      <c r="C120" t="s">
        <v>545</v>
      </c>
    </row>
    <row r="121" spans="1:3" x14ac:dyDescent="0.25">
      <c r="A121" t="s">
        <v>543</v>
      </c>
      <c r="B121" t="s">
        <v>232</v>
      </c>
      <c r="C121" t="s">
        <v>546</v>
      </c>
    </row>
    <row r="122" spans="1:3" x14ac:dyDescent="0.25">
      <c r="A122" t="s">
        <v>547</v>
      </c>
      <c r="B122" t="s">
        <v>232</v>
      </c>
      <c r="C122" t="s">
        <v>548</v>
      </c>
    </row>
    <row r="123" spans="1:3" x14ac:dyDescent="0.25">
      <c r="A123" t="s">
        <v>547</v>
      </c>
      <c r="B123" t="s">
        <v>232</v>
      </c>
      <c r="C123" t="s">
        <v>549</v>
      </c>
    </row>
    <row r="124" spans="1:3" x14ac:dyDescent="0.25">
      <c r="A124" t="s">
        <v>550</v>
      </c>
      <c r="B124" t="s">
        <v>232</v>
      </c>
      <c r="C124" t="s">
        <v>551</v>
      </c>
    </row>
    <row r="125" spans="1:3" x14ac:dyDescent="0.25">
      <c r="A125" t="s">
        <v>550</v>
      </c>
      <c r="B125" t="s">
        <v>232</v>
      </c>
      <c r="C125" t="s">
        <v>552</v>
      </c>
    </row>
    <row r="126" spans="1:3" x14ac:dyDescent="0.25">
      <c r="A126" t="s">
        <v>553</v>
      </c>
      <c r="B126" t="s">
        <v>232</v>
      </c>
      <c r="C126" t="s">
        <v>554</v>
      </c>
    </row>
    <row r="127" spans="1:3" x14ac:dyDescent="0.25">
      <c r="A127" t="s">
        <v>553</v>
      </c>
      <c r="B127" t="s">
        <v>232</v>
      </c>
      <c r="C127" t="s">
        <v>432</v>
      </c>
    </row>
    <row r="128" spans="1:3" x14ac:dyDescent="0.25">
      <c r="A128" t="s">
        <v>555</v>
      </c>
      <c r="B128" t="s">
        <v>232</v>
      </c>
      <c r="C128" t="s">
        <v>434</v>
      </c>
    </row>
    <row r="129" spans="1:3" x14ac:dyDescent="0.25">
      <c r="A129" t="s">
        <v>555</v>
      </c>
      <c r="B129" t="s">
        <v>232</v>
      </c>
      <c r="C129" t="s">
        <v>556</v>
      </c>
    </row>
    <row r="130" spans="1:3" x14ac:dyDescent="0.25">
      <c r="A130" t="s">
        <v>557</v>
      </c>
      <c r="B130" t="s">
        <v>232</v>
      </c>
      <c r="C130" t="s">
        <v>558</v>
      </c>
    </row>
    <row r="131" spans="1:3" x14ac:dyDescent="0.25">
      <c r="A131" t="s">
        <v>557</v>
      </c>
      <c r="B131" t="s">
        <v>232</v>
      </c>
      <c r="C131" t="s">
        <v>438</v>
      </c>
    </row>
    <row r="132" spans="1:3" x14ac:dyDescent="0.25">
      <c r="A132" s="1">
        <v>44600.710555555554</v>
      </c>
      <c r="B132" t="s">
        <v>232</v>
      </c>
      <c r="C132" t="s">
        <v>233</v>
      </c>
    </row>
    <row r="133" spans="1:3" x14ac:dyDescent="0.25">
      <c r="A133" s="1">
        <v>44628.649305555555</v>
      </c>
      <c r="B133" t="s">
        <v>232</v>
      </c>
      <c r="C133" t="s">
        <v>233</v>
      </c>
    </row>
    <row r="134" spans="1:3" x14ac:dyDescent="0.25">
      <c r="A134" s="1">
        <v>44628.649722222224</v>
      </c>
      <c r="B134" t="s">
        <v>232</v>
      </c>
      <c r="C134" t="s">
        <v>574</v>
      </c>
    </row>
    <row r="135" spans="1:3" x14ac:dyDescent="0.25">
      <c r="A135" s="1">
        <v>44628.649722222224</v>
      </c>
      <c r="B135" t="s">
        <v>232</v>
      </c>
      <c r="C135" t="s">
        <v>575</v>
      </c>
    </row>
    <row r="136" spans="1:3" x14ac:dyDescent="0.25">
      <c r="A136" s="1">
        <v>44628.649722222224</v>
      </c>
      <c r="B136" t="s">
        <v>232</v>
      </c>
      <c r="C136" t="s">
        <v>576</v>
      </c>
    </row>
    <row r="137" spans="1:3" x14ac:dyDescent="0.25">
      <c r="A137" s="1">
        <v>44628.649722222224</v>
      </c>
      <c r="B137" t="s">
        <v>232</v>
      </c>
      <c r="C137" t="s">
        <v>577</v>
      </c>
    </row>
    <row r="138" spans="1:3" x14ac:dyDescent="0.25">
      <c r="A138" s="1">
        <v>44628.649722222224</v>
      </c>
      <c r="B138" t="s">
        <v>232</v>
      </c>
      <c r="C138" t="s">
        <v>578</v>
      </c>
    </row>
    <row r="139" spans="1:3" x14ac:dyDescent="0.25">
      <c r="A139" s="1">
        <v>44628.649722222224</v>
      </c>
      <c r="B139" t="s">
        <v>232</v>
      </c>
      <c r="C139" t="s">
        <v>579</v>
      </c>
    </row>
    <row r="140" spans="1:3" x14ac:dyDescent="0.25">
      <c r="A140" s="1">
        <v>44628.649722222224</v>
      </c>
      <c r="B140" t="s">
        <v>232</v>
      </c>
      <c r="C140" t="s">
        <v>462</v>
      </c>
    </row>
    <row r="141" spans="1:3" x14ac:dyDescent="0.25">
      <c r="A141" s="1">
        <v>44628.649733796294</v>
      </c>
      <c r="B141" t="s">
        <v>232</v>
      </c>
      <c r="C141" t="s">
        <v>580</v>
      </c>
    </row>
    <row r="142" spans="1:3" x14ac:dyDescent="0.25">
      <c r="A142" s="1">
        <v>44628.649791666663</v>
      </c>
      <c r="B142" t="s">
        <v>232</v>
      </c>
      <c r="C142" t="s">
        <v>581</v>
      </c>
    </row>
    <row r="143" spans="1:3" x14ac:dyDescent="0.25">
      <c r="A143" s="1">
        <v>44628.660057870373</v>
      </c>
      <c r="B143" t="s">
        <v>232</v>
      </c>
      <c r="C143" t="s">
        <v>582</v>
      </c>
    </row>
    <row r="144" spans="1:3" x14ac:dyDescent="0.25">
      <c r="A144" s="1">
        <v>44628.663645833331</v>
      </c>
      <c r="B144" t="s">
        <v>232</v>
      </c>
      <c r="C144" t="s">
        <v>583</v>
      </c>
    </row>
    <row r="145" spans="1:3" x14ac:dyDescent="0.25">
      <c r="A145" s="1">
        <v>44628.663645833331</v>
      </c>
      <c r="B145" t="s">
        <v>232</v>
      </c>
      <c r="C145" t="s">
        <v>584</v>
      </c>
    </row>
    <row r="146" spans="1:3" x14ac:dyDescent="0.25">
      <c r="A146" s="1">
        <v>44628.663645833331</v>
      </c>
      <c r="B146" t="s">
        <v>232</v>
      </c>
      <c r="C146" t="s">
        <v>585</v>
      </c>
    </row>
    <row r="147" spans="1:3" x14ac:dyDescent="0.25">
      <c r="A147" s="1">
        <v>44628.663645833331</v>
      </c>
      <c r="B147" t="s">
        <v>232</v>
      </c>
      <c r="C147" t="s">
        <v>586</v>
      </c>
    </row>
    <row r="148" spans="1:3" x14ac:dyDescent="0.25">
      <c r="A148" s="1">
        <v>44628.663657407407</v>
      </c>
      <c r="B148" t="s">
        <v>232</v>
      </c>
      <c r="C148" t="s">
        <v>587</v>
      </c>
    </row>
    <row r="149" spans="1:3" x14ac:dyDescent="0.25">
      <c r="A149" s="1">
        <v>44628.663657407407</v>
      </c>
      <c r="B149" t="s">
        <v>232</v>
      </c>
      <c r="C149" t="s">
        <v>588</v>
      </c>
    </row>
    <row r="150" spans="1:3" x14ac:dyDescent="0.25">
      <c r="A150" s="1">
        <v>44628.663657407407</v>
      </c>
      <c r="B150" t="s">
        <v>232</v>
      </c>
      <c r="C150" t="s">
        <v>589</v>
      </c>
    </row>
    <row r="151" spans="1:3" x14ac:dyDescent="0.25">
      <c r="A151" s="1">
        <v>44628.663657407407</v>
      </c>
      <c r="B151" t="s">
        <v>232</v>
      </c>
      <c r="C151" t="s">
        <v>372</v>
      </c>
    </row>
    <row r="152" spans="1:3" x14ac:dyDescent="0.25">
      <c r="A152" s="1">
        <v>44628.663657407407</v>
      </c>
      <c r="B152" t="s">
        <v>232</v>
      </c>
      <c r="C152" t="s">
        <v>590</v>
      </c>
    </row>
    <row r="153" spans="1:3" x14ac:dyDescent="0.25">
      <c r="A153" s="1">
        <v>44628.663668981484</v>
      </c>
      <c r="B153" t="s">
        <v>232</v>
      </c>
      <c r="C153" t="s">
        <v>591</v>
      </c>
    </row>
    <row r="154" spans="1:3" x14ac:dyDescent="0.25">
      <c r="A154" s="1">
        <v>44628.664826388886</v>
      </c>
      <c r="B154" t="s">
        <v>232</v>
      </c>
      <c r="C154" t="s">
        <v>592</v>
      </c>
    </row>
    <row r="155" spans="1:3" x14ac:dyDescent="0.25">
      <c r="A155" s="1">
        <v>44628.664826388886</v>
      </c>
      <c r="B155" t="s">
        <v>232</v>
      </c>
      <c r="C155" t="s">
        <v>593</v>
      </c>
    </row>
    <row r="156" spans="1:3" x14ac:dyDescent="0.25">
      <c r="A156" s="1">
        <v>44628.664849537039</v>
      </c>
      <c r="B156" t="s">
        <v>232</v>
      </c>
      <c r="C156" t="s">
        <v>594</v>
      </c>
    </row>
    <row r="157" spans="1:3" x14ac:dyDescent="0.25">
      <c r="A157" s="1">
        <v>44628.664849537039</v>
      </c>
      <c r="B157" t="s">
        <v>232</v>
      </c>
      <c r="C157" t="s">
        <v>496</v>
      </c>
    </row>
    <row r="158" spans="1:3" x14ac:dyDescent="0.25">
      <c r="A158" s="1">
        <v>44628.664849537039</v>
      </c>
      <c r="B158" t="s">
        <v>232</v>
      </c>
      <c r="C158" t="s">
        <v>595</v>
      </c>
    </row>
    <row r="159" spans="1:3" x14ac:dyDescent="0.25">
      <c r="A159" s="1">
        <v>44628.664849537039</v>
      </c>
      <c r="B159" t="s">
        <v>232</v>
      </c>
      <c r="C159" t="s">
        <v>499</v>
      </c>
    </row>
    <row r="160" spans="1:3" x14ac:dyDescent="0.25">
      <c r="A160" s="1">
        <v>44628.664861111109</v>
      </c>
      <c r="B160" t="s">
        <v>232</v>
      </c>
      <c r="C160" t="s">
        <v>500</v>
      </c>
    </row>
    <row r="161" spans="1:3" x14ac:dyDescent="0.25">
      <c r="A161" s="1">
        <v>44628.664861111109</v>
      </c>
      <c r="B161" t="s">
        <v>232</v>
      </c>
      <c r="C161" t="s">
        <v>501</v>
      </c>
    </row>
    <row r="162" spans="1:3" x14ac:dyDescent="0.25">
      <c r="A162" s="1">
        <v>44628.664872685185</v>
      </c>
      <c r="B162" t="s">
        <v>232</v>
      </c>
      <c r="C162" t="s">
        <v>596</v>
      </c>
    </row>
    <row r="163" spans="1:3" x14ac:dyDescent="0.25">
      <c r="A163" s="1">
        <v>44628.664884259262</v>
      </c>
      <c r="B163" t="s">
        <v>232</v>
      </c>
      <c r="C163" t="s">
        <v>597</v>
      </c>
    </row>
    <row r="164" spans="1:3" x14ac:dyDescent="0.25">
      <c r="A164" s="1">
        <v>44628.664884259262</v>
      </c>
      <c r="B164" t="s">
        <v>232</v>
      </c>
      <c r="C164" t="s">
        <v>598</v>
      </c>
    </row>
    <row r="165" spans="1:3" x14ac:dyDescent="0.25">
      <c r="A165" s="1">
        <v>44628.664884259262</v>
      </c>
      <c r="B165" t="s">
        <v>232</v>
      </c>
      <c r="C165" t="s">
        <v>599</v>
      </c>
    </row>
    <row r="166" spans="1:3" x14ac:dyDescent="0.25">
      <c r="A166" s="1">
        <v>44628.664895833332</v>
      </c>
      <c r="B166" t="s">
        <v>232</v>
      </c>
      <c r="C166" t="s">
        <v>600</v>
      </c>
    </row>
    <row r="167" spans="1:3" x14ac:dyDescent="0.25">
      <c r="A167" s="1">
        <v>44628.664895833332</v>
      </c>
      <c r="B167" t="s">
        <v>232</v>
      </c>
      <c r="C167" t="s">
        <v>601</v>
      </c>
    </row>
    <row r="168" spans="1:3" x14ac:dyDescent="0.25">
      <c r="A168" s="1">
        <v>44628.664895833332</v>
      </c>
      <c r="B168" t="s">
        <v>232</v>
      </c>
      <c r="C168" t="s">
        <v>602</v>
      </c>
    </row>
    <row r="169" spans="1:3" x14ac:dyDescent="0.25">
      <c r="A169" s="1">
        <v>44628.664895833332</v>
      </c>
      <c r="B169" t="s">
        <v>232</v>
      </c>
      <c r="C169" t="s">
        <v>603</v>
      </c>
    </row>
    <row r="170" spans="1:3" x14ac:dyDescent="0.25">
      <c r="A170" s="1">
        <v>44628.664895833332</v>
      </c>
      <c r="B170" t="s">
        <v>232</v>
      </c>
      <c r="C170" t="s">
        <v>604</v>
      </c>
    </row>
    <row r="171" spans="1:3" x14ac:dyDescent="0.25">
      <c r="A171" s="1">
        <v>44628.664907407408</v>
      </c>
      <c r="B171" t="s">
        <v>232</v>
      </c>
      <c r="C171" t="s">
        <v>517</v>
      </c>
    </row>
    <row r="172" spans="1:3" x14ac:dyDescent="0.25">
      <c r="A172" s="1">
        <v>44628.664918981478</v>
      </c>
      <c r="B172" t="s">
        <v>232</v>
      </c>
      <c r="C172" t="s">
        <v>387</v>
      </c>
    </row>
    <row r="173" spans="1:3" x14ac:dyDescent="0.25">
      <c r="A173" s="1">
        <v>44628.664918981478</v>
      </c>
      <c r="B173" t="s">
        <v>232</v>
      </c>
      <c r="C173" t="s">
        <v>518</v>
      </c>
    </row>
    <row r="174" spans="1:3" x14ac:dyDescent="0.25">
      <c r="A174" s="1">
        <v>44628.664918981478</v>
      </c>
      <c r="B174" t="s">
        <v>232</v>
      </c>
      <c r="C174" t="s">
        <v>519</v>
      </c>
    </row>
    <row r="175" spans="1:3" x14ac:dyDescent="0.25">
      <c r="A175" s="1">
        <v>44628.664930555555</v>
      </c>
      <c r="B175" t="s">
        <v>232</v>
      </c>
      <c r="C175" t="s">
        <v>520</v>
      </c>
    </row>
    <row r="176" spans="1:3" x14ac:dyDescent="0.25">
      <c r="A176" s="1">
        <v>44628.664930555555</v>
      </c>
      <c r="B176" t="s">
        <v>232</v>
      </c>
      <c r="C176" t="s">
        <v>605</v>
      </c>
    </row>
    <row r="177" spans="1:3" x14ac:dyDescent="0.25">
      <c r="A177" s="1">
        <v>44628.664930555555</v>
      </c>
      <c r="B177" t="s">
        <v>232</v>
      </c>
      <c r="C177" t="s">
        <v>606</v>
      </c>
    </row>
    <row r="178" spans="1:3" x14ac:dyDescent="0.25">
      <c r="A178" s="1">
        <v>44628.664930555555</v>
      </c>
      <c r="B178" t="s">
        <v>232</v>
      </c>
      <c r="C178" t="s">
        <v>607</v>
      </c>
    </row>
    <row r="179" spans="1:3" x14ac:dyDescent="0.25">
      <c r="A179" s="1">
        <v>44628.664930555555</v>
      </c>
      <c r="B179" t="s">
        <v>232</v>
      </c>
      <c r="C179" t="s">
        <v>608</v>
      </c>
    </row>
    <row r="180" spans="1:3" x14ac:dyDescent="0.25">
      <c r="A180" s="1">
        <v>44628.664942129632</v>
      </c>
      <c r="B180" t="s">
        <v>232</v>
      </c>
      <c r="C180" t="s">
        <v>609</v>
      </c>
    </row>
    <row r="181" spans="1:3" x14ac:dyDescent="0.25">
      <c r="A181" s="1">
        <v>44628.664942129632</v>
      </c>
      <c r="B181" t="s">
        <v>232</v>
      </c>
      <c r="C181" t="s">
        <v>610</v>
      </c>
    </row>
    <row r="182" spans="1:3" x14ac:dyDescent="0.25">
      <c r="A182" s="1">
        <v>44628.664942129632</v>
      </c>
      <c r="B182" t="s">
        <v>232</v>
      </c>
      <c r="C182" t="s">
        <v>532</v>
      </c>
    </row>
    <row r="183" spans="1:3" x14ac:dyDescent="0.25">
      <c r="A183" s="1">
        <v>44628.664953703701</v>
      </c>
      <c r="B183" t="s">
        <v>232</v>
      </c>
      <c r="C183" t="s">
        <v>611</v>
      </c>
    </row>
    <row r="184" spans="1:3" x14ac:dyDescent="0.25">
      <c r="A184" s="1">
        <v>44628.664953703701</v>
      </c>
      <c r="B184" t="s">
        <v>232</v>
      </c>
      <c r="C184" t="s">
        <v>612</v>
      </c>
    </row>
    <row r="185" spans="1:3" x14ac:dyDescent="0.25">
      <c r="A185" s="1">
        <v>44628.664953703701</v>
      </c>
      <c r="B185" t="s">
        <v>232</v>
      </c>
      <c r="C185" t="s">
        <v>427</v>
      </c>
    </row>
    <row r="186" spans="1:3" x14ac:dyDescent="0.25">
      <c r="A186" s="1">
        <v>44628.677476851852</v>
      </c>
      <c r="B186" t="s">
        <v>232</v>
      </c>
      <c r="C186" t="s">
        <v>613</v>
      </c>
    </row>
    <row r="187" spans="1:3" x14ac:dyDescent="0.25">
      <c r="A187" s="1">
        <v>44628.677476851852</v>
      </c>
      <c r="B187" t="s">
        <v>232</v>
      </c>
      <c r="C187" t="s">
        <v>614</v>
      </c>
    </row>
    <row r="188" spans="1:3" x14ac:dyDescent="0.25">
      <c r="A188" s="1">
        <v>44628.677476851852</v>
      </c>
      <c r="B188" t="s">
        <v>232</v>
      </c>
      <c r="C188" t="s">
        <v>615</v>
      </c>
    </row>
    <row r="189" spans="1:3" x14ac:dyDescent="0.25">
      <c r="A189" s="1">
        <v>44628.677476851852</v>
      </c>
      <c r="B189" t="s">
        <v>232</v>
      </c>
      <c r="C189" t="s">
        <v>545</v>
      </c>
    </row>
    <row r="190" spans="1:3" x14ac:dyDescent="0.25">
      <c r="A190" s="1">
        <v>44628.677476851852</v>
      </c>
      <c r="B190" t="s">
        <v>232</v>
      </c>
      <c r="C190" t="s">
        <v>616</v>
      </c>
    </row>
    <row r="191" spans="1:3" x14ac:dyDescent="0.25">
      <c r="A191" s="1">
        <v>44628.677476851852</v>
      </c>
      <c r="B191" t="s">
        <v>232</v>
      </c>
      <c r="C191" t="s">
        <v>617</v>
      </c>
    </row>
    <row r="192" spans="1:3" x14ac:dyDescent="0.25">
      <c r="A192" s="1">
        <v>44628.677476851852</v>
      </c>
      <c r="B192" t="s">
        <v>232</v>
      </c>
      <c r="C192" t="s">
        <v>552</v>
      </c>
    </row>
    <row r="193" spans="1:3" x14ac:dyDescent="0.25">
      <c r="A193" s="1">
        <v>44628.677534722221</v>
      </c>
      <c r="B193" t="s">
        <v>232</v>
      </c>
      <c r="C193" t="s">
        <v>618</v>
      </c>
    </row>
    <row r="194" spans="1:3" x14ac:dyDescent="0.25">
      <c r="A194" s="1">
        <v>44628.677546296298</v>
      </c>
      <c r="B194" t="s">
        <v>232</v>
      </c>
      <c r="C194" t="s">
        <v>432</v>
      </c>
    </row>
    <row r="195" spans="1:3" x14ac:dyDescent="0.25">
      <c r="A195" s="1">
        <v>44628.677569444444</v>
      </c>
      <c r="B195" t="s">
        <v>232</v>
      </c>
      <c r="C195" t="s">
        <v>619</v>
      </c>
    </row>
    <row r="196" spans="1:3" x14ac:dyDescent="0.25">
      <c r="A196" s="1">
        <v>44628.677569444444</v>
      </c>
      <c r="B196" t="s">
        <v>232</v>
      </c>
      <c r="C196" t="s">
        <v>620</v>
      </c>
    </row>
    <row r="197" spans="1:3" x14ac:dyDescent="0.25">
      <c r="A197" s="1">
        <v>44628.677824074075</v>
      </c>
      <c r="B197" t="s">
        <v>232</v>
      </c>
      <c r="C197" t="s">
        <v>621</v>
      </c>
    </row>
    <row r="198" spans="1:3" x14ac:dyDescent="0.25">
      <c r="A198" s="1">
        <v>44628.677824074075</v>
      </c>
      <c r="B198" t="s">
        <v>232</v>
      </c>
      <c r="C198" t="s">
        <v>438</v>
      </c>
    </row>
  </sheetData>
  <sheetProtection algorithmName="SHA-512" hashValue="MEVuZu50KaBE0x3LyYQWGGKXeRy15bwYYamjnJWlQuwEMXr/WAp5p0exEB/NsjW0mK1MbCAk/Lc6i7egJIUYjA==" saltValue="E4nygNWaDLpYKXvQx8p3rA==" spinCount="100000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HV</vt:lpstr>
      <vt:lpstr>Psts</vt:lpstr>
      <vt:lpstr>Parametros</vt:lpstr>
      <vt:lpstr>Log</vt:lpstr>
      <vt:lpstr>Administrar</vt:lpstr>
      <vt:lpstr>ctUP</vt:lpstr>
      <vt:lpstr>Dark</vt:lpstr>
      <vt:lpstr>GenerarCopia</vt:lpstr>
      <vt:lpstr>Modo_Usuario</vt:lpstr>
      <vt:lpstr>PGenerales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Willington Bautista</dc:creator>
  <cp:lastModifiedBy>avicol</cp:lastModifiedBy>
  <dcterms:created xsi:type="dcterms:W3CDTF">2019-01-15T19:29:30Z</dcterms:created>
  <dcterms:modified xsi:type="dcterms:W3CDTF">2022-08-03T21:16:05Z</dcterms:modified>
</cp:coreProperties>
</file>